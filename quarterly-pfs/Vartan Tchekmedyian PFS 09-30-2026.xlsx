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Sch A - Cash" sheetId="2" state="visible" r:id="rId2"/>
    <sheet name="Sch B - Securities" sheetId="3" state="visible" r:id="rId3"/>
    <sheet name="Sch C - Real Estate" sheetId="4" state="visible" r:id="rId4"/>
    <sheet name="Sch D - Businesses" sheetId="5" state="visible" r:id="rId5"/>
    <sheet name="Sch E - Receivables" sheetId="6" state="visible" r:id="rId6"/>
    <sheet name="Sch F - Other Assets" sheetId="7" state="visible" r:id="rId7"/>
    <sheet name="Sch G - Liabilities" sheetId="8" state="visible" r:id="rId8"/>
    <sheet name="Sch H - Other Liab" sheetId="9" state="visible" r:id="rId9"/>
    <sheet name="Contingent &amp; Q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m/d/yyyy"/>
    <numFmt numFmtId="165" formatCode="\$#,##0;&quot;($&quot;#,##0\);\-"/>
    <numFmt numFmtId="166" formatCode="0.0\%"/>
    <numFmt numFmtId="167" formatCode="mm/dd/yyyy"/>
    <numFmt numFmtId="168" formatCode="0.0%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FFFFFF"/>
      <sz val="12"/>
    </font>
    <font>
      <name val="Arial"/>
      <charset val="1"/>
      <family val="2"/>
      <b val="1"/>
      <color rgb="FF000000"/>
      <sz val="9"/>
    </font>
    <font>
      <name val="Arial"/>
      <charset val="1"/>
      <family val="2"/>
      <color rgb="FF0000FF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rgb="FF000000"/>
      <sz val="9"/>
    </font>
    <font>
      <name val="Arial"/>
      <charset val="1"/>
      <family val="2"/>
      <color rgb="FF008000"/>
      <sz val="9"/>
    </font>
    <font>
      <name val="Arial"/>
      <charset val="1"/>
      <family val="2"/>
      <b val="1"/>
      <color rgb="FFFFFFFF"/>
      <sz val="12"/>
      <u val="single"/>
    </font>
    <font>
      <name val="Arial"/>
      <charset val="1"/>
      <family val="2"/>
      <b val="1"/>
      <color rgb="FF000000"/>
      <sz val="10"/>
    </font>
    <font>
      <name val="Arial"/>
      <family val="2"/>
      <sz val="10"/>
    </font>
  </fonts>
  <fills count="7">
    <fill>
      <patternFill/>
    </fill>
    <fill>
      <patternFill patternType="gray125"/>
    </fill>
    <fill>
      <patternFill patternType="solid">
        <fgColor rgb="FF0F3D4C"/>
        <bgColor rgb="FF333333"/>
      </patternFill>
    </fill>
    <fill>
      <patternFill patternType="solid">
        <fgColor rgb="FFFFF8CC"/>
        <bgColor rgb="FFFFFFFF"/>
      </patternFill>
    </fill>
    <fill>
      <patternFill patternType="solid">
        <fgColor rgb="FF2E7D8A"/>
        <bgColor rgb="FF008080"/>
      </patternFill>
    </fill>
    <fill>
      <patternFill patternType="solid">
        <fgColor rgb="FFE8F1F2"/>
        <bgColor rgb="FFFFFFFF"/>
      </patternFill>
    </fill>
    <fill>
      <patternFill patternType="solid">
        <fgColor rgb="FFFFFFFF"/>
        <bgColor rgb="FFE8F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164" fontId="6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165" fontId="6" fillId="3" borderId="1" applyAlignment="1" pivotButton="0" quotePrefix="0" xfId="0">
      <alignment horizontal="general" vertical="bottom"/>
    </xf>
    <xf numFmtId="165" fontId="9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5" fontId="8" fillId="3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8" fillId="6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 wrapText="1"/>
    </xf>
    <xf numFmtId="3" fontId="8" fillId="6" borderId="1" applyAlignment="1" pivotButton="0" quotePrefix="0" xfId="0">
      <alignment horizontal="general" vertical="bottom"/>
    </xf>
    <xf numFmtId="166" fontId="8" fillId="6" borderId="1" applyAlignment="1" pivotButton="0" quotePrefix="0" xfId="0">
      <alignment horizontal="general" vertical="bottom"/>
    </xf>
    <xf numFmtId="167" fontId="8" fillId="6" borderId="1" applyAlignment="1" pivotButton="0" quotePrefix="0" xfId="0">
      <alignment horizontal="general" vertical="bottom"/>
    </xf>
    <xf numFmtId="165" fontId="8" fillId="6" borderId="1" applyAlignment="1" pivotButton="0" quotePrefix="0" xfId="0">
      <alignment horizontal="general" vertical="bottom"/>
    </xf>
    <xf numFmtId="168" fontId="8" fillId="6" borderId="1" applyAlignment="1" pivotButton="0" quotePrefix="0" xfId="0">
      <alignment horizontal="general" vertical="bottom"/>
    </xf>
    <xf numFmtId="10" fontId="8" fillId="6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 wrapText="1"/>
    </xf>
    <xf numFmtId="3" fontId="5" fillId="5" borderId="1" applyAlignment="1" pivotButton="0" quotePrefix="0" xfId="0">
      <alignment horizontal="general" vertical="bottom"/>
    </xf>
    <xf numFmtId="166" fontId="5" fillId="5" borderId="1" applyAlignment="1" pivotButton="0" quotePrefix="0" xfId="0">
      <alignment horizontal="general" vertical="bottom"/>
    </xf>
    <xf numFmtId="167" fontId="5" fillId="5" borderId="1" applyAlignment="1" pivotButton="0" quotePrefix="0" xfId="0">
      <alignment horizontal="general" vertical="bottom"/>
    </xf>
    <xf numFmtId="165" fontId="5" fillId="5" borderId="1" applyAlignment="1" pivotButton="0" quotePrefix="0" xfId="0">
      <alignment horizontal="general" vertical="bottom"/>
    </xf>
    <xf numFmtId="168" fontId="5" fillId="5" borderId="1" applyAlignment="1" pivotButton="0" quotePrefix="0" xfId="0">
      <alignment horizontal="general" vertical="bottom"/>
    </xf>
    <xf numFmtId="10" fontId="5" fillId="5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right" vertical="bottom"/>
    </xf>
    <xf numFmtId="0" fontId="11" fillId="5" borderId="0" applyAlignment="1" pivotButton="0" quotePrefix="0" xfId="0">
      <alignment horizontal="left" vertical="center" indent="1"/>
    </xf>
    <xf numFmtId="164" fontId="6" fillId="3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164" fontId="6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165" fontId="6" fillId="3" borderId="1" applyAlignment="1" pivotButton="0" quotePrefix="0" xfId="0">
      <alignment horizontal="general" vertical="bottom"/>
    </xf>
    <xf numFmtId="165" fontId="9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5" fontId="8" fillId="3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8" fillId="6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 wrapText="1"/>
    </xf>
    <xf numFmtId="3" fontId="8" fillId="6" borderId="1" applyAlignment="1" pivotButton="0" quotePrefix="0" xfId="0">
      <alignment horizontal="general" vertical="bottom"/>
    </xf>
    <xf numFmtId="166" fontId="8" fillId="6" borderId="1" applyAlignment="1" pivotButton="0" quotePrefix="0" xfId="0">
      <alignment horizontal="general" vertical="bottom"/>
    </xf>
    <xf numFmtId="167" fontId="8" fillId="6" borderId="1" applyAlignment="1" pivotButton="0" quotePrefix="0" xfId="0">
      <alignment horizontal="general" vertical="bottom"/>
    </xf>
    <xf numFmtId="165" fontId="8" fillId="6" borderId="1" applyAlignment="1" pivotButton="0" quotePrefix="0" xfId="0">
      <alignment horizontal="general" vertical="bottom"/>
    </xf>
    <xf numFmtId="168" fontId="8" fillId="6" borderId="1" applyAlignment="1" pivotButton="0" quotePrefix="0" xfId="0">
      <alignment horizontal="general" vertical="bottom"/>
    </xf>
    <xf numFmtId="10" fontId="8" fillId="6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 wrapText="1"/>
    </xf>
    <xf numFmtId="3" fontId="5" fillId="5" borderId="1" applyAlignment="1" pivotButton="0" quotePrefix="0" xfId="0">
      <alignment horizontal="general" vertical="bottom"/>
    </xf>
    <xf numFmtId="166" fontId="5" fillId="5" borderId="1" applyAlignment="1" pivotButton="0" quotePrefix="0" xfId="0">
      <alignment horizontal="general" vertical="bottom"/>
    </xf>
    <xf numFmtId="167" fontId="5" fillId="5" borderId="1" applyAlignment="1" pivotButton="0" quotePrefix="0" xfId="0">
      <alignment horizontal="general" vertical="bottom"/>
    </xf>
    <xf numFmtId="165" fontId="5" fillId="5" borderId="1" applyAlignment="1" pivotButton="0" quotePrefix="0" xfId="0">
      <alignment horizontal="general" vertical="bottom"/>
    </xf>
    <xf numFmtId="168" fontId="5" fillId="5" borderId="1" applyAlignment="1" pivotButton="0" quotePrefix="0" xfId="0">
      <alignment horizontal="general" vertical="bottom"/>
    </xf>
    <xf numFmtId="10" fontId="5" fillId="5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right" vertical="bottom"/>
    </xf>
    <xf numFmtId="0" fontId="11" fillId="5" borderId="0" applyAlignment="1" pivotButton="0" quotePrefix="0" xfId="0">
      <alignment horizontal="left" vertical="center" indent="1"/>
    </xf>
    <xf numFmtId="164" fontId="6" fillId="3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CC"/>
      <rgbColor rgb="FFE8F1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D4C"/>
      <rgbColor rgb="FF2E7D8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Unknown Author</author>
  </authors>
  <commentList>
    <comment ref="R4" authorId="0" shapeId="0">
      <text>
        <t xml:space="preserve">excluding Interest &amp; Depreciation
Property running expenses (Insurance, PT, Utilities), not company running expenses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41"/>
  <sheetViews>
    <sheetView showFormulas="0" showGridLines="0" showRowColHeaders="1" showZeros="1" rightToLeft="0" tabSelected="1" showOutlineSymbols="1" defaultGridColor="1" view="normal" topLeftCell="A1" colorId="64" zoomScale="200" zoomScaleNormal="200" zoomScalePageLayoutView="100" workbookViewId="0">
      <selection pane="topLeft" activeCell="A27" activeCellId="0" sqref="A27"/>
    </sheetView>
  </sheetViews>
  <sheetFormatPr baseColWidth="8" defaultColWidth="8.66796875" defaultRowHeight="15" zeroHeight="0" outlineLevelRow="0"/>
  <cols>
    <col width="34" customWidth="1" style="38" min="1" max="1"/>
    <col width="25" customWidth="1" style="38" min="2" max="2"/>
    <col width="3" customWidth="1" style="38" min="3" max="3"/>
    <col width="40" customWidth="1" style="38" min="4" max="4"/>
    <col width="16" customWidth="1" style="38" min="5" max="5"/>
  </cols>
  <sheetData>
    <row r="1" ht="24" customHeight="1" s="39">
      <c r="A1" s="40" t="inlineStr">
        <is>
          <t>Commercial Personal Financial Statement</t>
        </is>
      </c>
    </row>
    <row r="2" ht="15" customHeight="1" s="39">
      <c r="A2" s="41" t="inlineStr">
        <is>
          <t>Dated as of:</t>
        </is>
      </c>
      <c r="B2" s="42" t="n">
        <v>46295</v>
      </c>
    </row>
    <row r="4" ht="15" customHeight="1" s="39">
      <c r="A4" s="43" t="inlineStr">
        <is>
          <t>Individual Information</t>
        </is>
      </c>
    </row>
    <row r="5" ht="15" customHeight="1" s="39">
      <c r="A5" s="44" t="inlineStr">
        <is>
          <t>Name</t>
        </is>
      </c>
      <c r="B5" s="45" t="inlineStr">
        <is>
          <t>Vartan Tchekmedyian</t>
        </is>
      </c>
    </row>
    <row r="6" ht="15" customHeight="1" s="39">
      <c r="A6" s="44" t="inlineStr">
        <is>
          <t>Address</t>
        </is>
      </c>
      <c r="B6" s="45" t="inlineStr">
        <is>
          <t>3045 Verdugo Road</t>
        </is>
      </c>
    </row>
    <row r="7" ht="15" customHeight="1" s="39">
      <c r="A7" s="44" t="inlineStr">
        <is>
          <t>City, State, Zip</t>
        </is>
      </c>
      <c r="B7" s="45" t="inlineStr">
        <is>
          <t>Los Angeles, CA 90065</t>
        </is>
      </c>
    </row>
    <row r="8" ht="15" customHeight="1" s="39">
      <c r="A8" s="44" t="inlineStr">
        <is>
          <t>Phone</t>
        </is>
      </c>
      <c r="B8" s="45" t="inlineStr">
        <is>
          <t>714-878-1008</t>
        </is>
      </c>
    </row>
    <row r="9" ht="15" customHeight="1" s="39">
      <c r="A9" s="44" t="inlineStr">
        <is>
          <t>Email</t>
        </is>
      </c>
      <c r="B9" s="45" t="inlineStr">
        <is>
          <t>vartan.tchekmedyian1@gmail.com</t>
        </is>
      </c>
    </row>
    <row r="11" ht="15" customHeight="1" s="39">
      <c r="A11" s="43" t="inlineStr">
        <is>
          <t>Annual Income</t>
        </is>
      </c>
    </row>
    <row r="12" ht="15" customHeight="1" s="39">
      <c r="A12" s="46" t="inlineStr">
        <is>
          <t>Source</t>
        </is>
      </c>
      <c r="B12" s="46" t="inlineStr">
        <is>
          <t>Amount</t>
        </is>
      </c>
    </row>
    <row r="13" ht="15" customHeight="1" s="39">
      <c r="A13" s="47" t="inlineStr">
        <is>
          <t>Salary</t>
        </is>
      </c>
      <c r="B13" s="48" t="n">
        <v>350000</v>
      </c>
    </row>
    <row r="14" ht="15" customHeight="1" s="39">
      <c r="A14" s="47" t="inlineStr">
        <is>
          <t>Bonuses/Commission</t>
        </is>
      </c>
      <c r="B14" s="48" t="n">
        <v>210000</v>
      </c>
    </row>
    <row r="15" ht="15" customHeight="1" s="39">
      <c r="A15" s="47" t="inlineStr">
        <is>
          <t>Dividend/Interest (Scd E)</t>
        </is>
      </c>
      <c r="B15" s="49">
        <f>SUM('Sch E - Receivables'!C3:C14)</f>
        <v/>
      </c>
    </row>
    <row r="16" ht="15" customHeight="1" s="39">
      <c r="A16" s="47" t="inlineStr">
        <is>
          <t>Other (Scd C)</t>
        </is>
      </c>
      <c r="B16" s="49">
        <f>'Sch C - Real Estate'!U23</f>
        <v/>
      </c>
    </row>
    <row r="17" ht="15" customHeight="1" s="39">
      <c r="A17" s="47" t="inlineStr">
        <is>
          <t>Alimony/Child Support/Maintenance</t>
        </is>
      </c>
      <c r="B17" s="48" t="n"/>
    </row>
    <row r="18" ht="15" customHeight="1" s="39">
      <c r="A18" s="50" t="inlineStr">
        <is>
          <t>Total Annual Income</t>
        </is>
      </c>
      <c r="B18" s="51">
        <f>SUM(B13:B17)</f>
        <v/>
      </c>
    </row>
    <row r="20" ht="19.5" customHeight="1" s="39">
      <c r="A20" s="40" t="inlineStr">
        <is>
          <t>Assets</t>
        </is>
      </c>
      <c r="D20" s="40" t="inlineStr">
        <is>
          <t>Liabilities</t>
        </is>
      </c>
    </row>
    <row r="21" ht="15" customHeight="1" s="39">
      <c r="A21" s="47" t="inlineStr">
        <is>
          <t>Cash On Hand (Schedule A)</t>
        </is>
      </c>
      <c r="B21" s="52">
        <f>SUM('Sch A - Cash'!C3:C23)</f>
        <v/>
      </c>
      <c r="D21" s="47" t="inlineStr">
        <is>
          <t>Automobile Loans (Sch G)</t>
        </is>
      </c>
      <c r="E21" s="52">
        <f>SUMIF('Sch G - Liabilities'!A3:A30,"Auto",'Sch G - Liabilities'!F3:F30)</f>
        <v/>
      </c>
    </row>
    <row r="22" ht="15" customHeight="1" s="39">
      <c r="A22" s="47" t="inlineStr">
        <is>
          <t>Marketable Stocks/Bonds (Sch B)</t>
        </is>
      </c>
      <c r="B22" s="52">
        <f>SUMIF('Sch B - Securities'!A3:A22,"Marketable",'Sch B - Securities'!E3:E22)</f>
        <v/>
      </c>
      <c r="D22" s="47" t="inlineStr">
        <is>
          <t>Lines of Credit (Sch G)</t>
        </is>
      </c>
      <c r="E22" s="52">
        <f>SUMIF('Sch G - Liabilities'!A3:A30,"LOC",'Sch G - Liabilities'!F3:F30)</f>
        <v/>
      </c>
    </row>
    <row r="23" ht="15" customHeight="1" s="39">
      <c r="A23" s="47" t="inlineStr">
        <is>
          <t>Other Securities (Sch B)</t>
        </is>
      </c>
      <c r="B23" s="52">
        <f>SUMIF('Sch B - Securities'!A3:A22,"Other",'Sch B - Securities'!E3:E22)</f>
        <v/>
      </c>
      <c r="D23" s="47" t="inlineStr">
        <is>
          <t>Revolving Loan (Sch G)</t>
        </is>
      </c>
      <c r="E23" s="52">
        <f>SUMIF('Sch G - Liabilities'!A3:A30,"Revolv",'Sch G - Liabilities'!F3:F30)</f>
        <v/>
      </c>
    </row>
    <row r="24" ht="15" customHeight="1" s="39">
      <c r="A24" s="47" t="inlineStr">
        <is>
          <t>Personal Residence (Sch C)</t>
        </is>
      </c>
      <c r="B24" s="52">
        <f>'Sch C - Real Estate'!I25</f>
        <v/>
      </c>
      <c r="D24" s="47" t="inlineStr">
        <is>
          <t>Accounts Payable (Sch G)</t>
        </is>
      </c>
      <c r="E24" s="52">
        <f>SUMIF('Sch G - Liabilities'!A3:A30,"A/P",'Sch G - Liabilities'!F3:F30)</f>
        <v/>
      </c>
    </row>
    <row r="25" ht="15" customHeight="1" s="39">
      <c r="A25" s="47" t="inlineStr">
        <is>
          <t>Secondary Residence(s) (Sch C)</t>
        </is>
      </c>
      <c r="B25" s="52" t="n">
        <v>0</v>
      </c>
      <c r="D25" s="47" t="inlineStr">
        <is>
          <t>Accounts Payable - Related (Sch G)</t>
        </is>
      </c>
      <c r="E25" s="52">
        <f>SUMIF('Sch G - Liabilities'!A3:A30,"A/P Related",'Sch G - Liabilities'!F3:F30)</f>
        <v/>
      </c>
    </row>
    <row r="26" ht="15" customHeight="1" s="39">
      <c r="A26" s="47" t="inlineStr">
        <is>
          <t>Commercial RE / Income Prop (Sch C)</t>
        </is>
      </c>
      <c r="B26" s="52">
        <f>'Sch C - Real Estate'!I23</f>
        <v/>
      </c>
      <c r="D26" s="47" t="inlineStr">
        <is>
          <t>Other (Sch G)</t>
        </is>
      </c>
      <c r="E26" s="52">
        <f>SUMIF('Sch G - Liabilities'!A3:A30,"Other",'Sch G - Liabilities'!F3:F30)</f>
        <v/>
      </c>
    </row>
    <row r="27" ht="15" customHeight="1" s="39">
      <c r="A27" s="47" t="inlineStr">
        <is>
          <t>Unimproved Land (Sch C)</t>
        </is>
      </c>
      <c r="B27" s="52" t="n">
        <v>0</v>
      </c>
      <c r="D27" s="47" t="inlineStr">
        <is>
          <t>RE Loan - Residence(s) (Sch C)</t>
        </is>
      </c>
      <c r="E27" s="52">
        <f>'Sch C - Real Estate'!J25</f>
        <v/>
      </c>
    </row>
    <row r="28" ht="15" customHeight="1" s="39">
      <c r="A28" s="47" t="inlineStr">
        <is>
          <t>C Corporation (Sch D)</t>
        </is>
      </c>
      <c r="B28" s="52">
        <f>SUMIF('Sch D - Businesses'!A3:A17,"C Corp",'Sch D - Businesses'!E3:E17)</f>
        <v/>
      </c>
      <c r="D28" s="47" t="inlineStr">
        <is>
          <t>RE Loan - Commercial (Sch C)</t>
        </is>
      </c>
      <c r="E28" s="52">
        <f>'Sch C - Real Estate'!J23</f>
        <v/>
      </c>
    </row>
    <row r="29" ht="15" customHeight="1" s="39">
      <c r="A29" s="47" t="inlineStr">
        <is>
          <t>S Corporation (Sch D)</t>
        </is>
      </c>
      <c r="B29" s="52">
        <f>SUMIF('Sch D - Businesses'!A3:A17,"S Corp",'Sch D - Businesses'!E3:E17)</f>
        <v/>
      </c>
      <c r="D29" s="47" t="inlineStr">
        <is>
          <t>RE Loan - Unimproved Land (Sch C)</t>
        </is>
      </c>
      <c r="E29" s="52" t="n">
        <v>0</v>
      </c>
    </row>
    <row r="30" ht="15" customHeight="1" s="39">
      <c r="A30" s="47" t="inlineStr">
        <is>
          <t>Limited Liability Company (Sch D)</t>
        </is>
      </c>
      <c r="B30" s="52">
        <f>SUMIF('Sch D - Businesses'!A3:A17,"LLC",'Sch D - Businesses'!E3:E17)</f>
        <v/>
      </c>
      <c r="D30" s="47" t="inlineStr">
        <is>
          <t>Personal Liabilities (Sch H)</t>
        </is>
      </c>
      <c r="E30" s="52">
        <f>SUMIF('Sch H - Other Liab'!A3:A12,"Personal",'Sch H - Other Liab'!F3:F12)</f>
        <v/>
      </c>
    </row>
    <row r="31" ht="15" customHeight="1" s="39">
      <c r="A31" s="47" t="inlineStr">
        <is>
          <t>General &amp; Limited Partnerships (D)</t>
        </is>
      </c>
      <c r="B31" s="52">
        <f>SUMIF('Sch D - Businesses'!A3:A17,"Partnership",'Sch D - Businesses'!E3:E17)</f>
        <v/>
      </c>
      <c r="D31" s="47" t="inlineStr">
        <is>
          <t>Other Liabilities (Sch H)</t>
        </is>
      </c>
      <c r="E31" s="52">
        <f>SUMIF('Sch H - Other Liab'!A3:A12,"Other",'Sch H - Other Liab'!F3:F12)</f>
        <v/>
      </c>
    </row>
    <row r="32" ht="15" customHeight="1" s="39">
      <c r="A32" s="47" t="inlineStr">
        <is>
          <t>Closely Held Businesses (Sch D)</t>
        </is>
      </c>
      <c r="B32" s="52">
        <f>SUMIF('Sch D - Businesses'!A3:A17,"Closely Held",'Sch D - Businesses'!E3:E17)</f>
        <v/>
      </c>
    </row>
    <row r="33" ht="15" customHeight="1" s="39">
      <c r="A33" s="47" t="inlineStr">
        <is>
          <t>Contracts/Accts/Notes Rec (Sch E)</t>
        </is>
      </c>
      <c r="B33" s="52">
        <f>SUMIF('Sch E - Receivables'!A3:A14,"A/R",'Sch E - Receivables'!F3:F14)</f>
        <v/>
      </c>
    </row>
    <row r="34" ht="15" customHeight="1" s="39">
      <c r="A34" s="47" t="inlineStr">
        <is>
          <t>Notes Rec - Related Party (Sch E)</t>
        </is>
      </c>
      <c r="B34" s="52">
        <f>SUMIF('Sch E - Receivables'!A3:A14,"A/R Related",'Sch E - Receivables'!F3:F14)</f>
        <v/>
      </c>
    </row>
    <row r="35" ht="15" customHeight="1" s="39">
      <c r="A35" s="47" t="inlineStr">
        <is>
          <t>Cash Surrender Value Life Ins (F)</t>
        </is>
      </c>
      <c r="B35" s="52">
        <f>SUMIF('Sch F - Other Assets'!A3:A14,"Life Insurance",'Sch F - Other Assets'!E3:E14)</f>
        <v/>
      </c>
    </row>
    <row r="36" ht="15" customHeight="1" s="39">
      <c r="A36" s="47" t="inlineStr">
        <is>
          <t>Retirement Accounts (Sch F)</t>
        </is>
      </c>
      <c r="B36" s="52">
        <f>SUMIF('Sch F - Other Assets'!A3:A14,"Retirement",'Sch F - Other Assets'!E3:E14)</f>
        <v/>
      </c>
    </row>
    <row r="37" ht="15" customHeight="1" s="39">
      <c r="A37" s="47" t="inlineStr">
        <is>
          <t>Personal / Other Assets (Sch F)</t>
        </is>
      </c>
      <c r="B37" s="52">
        <f>SUMIF('Sch F - Other Assets'!A3:A14,"Personal",'Sch F - Other Assets'!E3:E14)+SUMIF('Sch F - Other Assets'!A3:A14,"Other",'Sch F - Other Assets'!E3:E14)</f>
        <v/>
      </c>
    </row>
    <row r="39" ht="15" customHeight="1" s="39">
      <c r="A39" s="50" t="inlineStr">
        <is>
          <t>Total Assets</t>
        </is>
      </c>
      <c r="B39" s="51">
        <f>SUM(B21:B37)</f>
        <v/>
      </c>
      <c r="D39" s="50" t="inlineStr">
        <is>
          <t>Total Liabilities</t>
        </is>
      </c>
      <c r="E39" s="51">
        <f>SUM(E21:E31)</f>
        <v/>
      </c>
    </row>
    <row r="40" ht="15" customHeight="1" s="39">
      <c r="D40" s="50" t="inlineStr">
        <is>
          <t>Net Worth</t>
        </is>
      </c>
      <c r="E40" s="51">
        <f>B39-E39</f>
        <v/>
      </c>
    </row>
    <row r="41" ht="15" customHeight="1" s="39">
      <c r="A41" s="44" t="inlineStr">
        <is>
          <t>Check: Assets = Liab + NW</t>
        </is>
      </c>
      <c r="B41" s="53">
        <f>B39-E39-E40</f>
        <v/>
      </c>
      <c r="D41" s="50" t="inlineStr">
        <is>
          <t>Total Liabilities &amp; Net Worth</t>
        </is>
      </c>
      <c r="E41" s="51">
        <f>E39+E40</f>
        <v/>
      </c>
    </row>
  </sheetData>
  <mergeCells count="5">
    <mergeCell ref="D20:E20"/>
    <mergeCell ref="A20:B20"/>
    <mergeCell ref="A4:E4"/>
    <mergeCell ref="A11:E11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25" zoomScaleNormal="125" zoomScalePageLayoutView="100" workbookViewId="0">
      <pane xSplit="0" ySplit="2" topLeftCell="A3" activePane="bottomLeft" state="frozen"/>
      <selection pane="topLeft" activeCell="A1" activeCellId="0" sqref="A1"/>
      <selection pane="bottomLeft" activeCell="A4" activeCellId="0" sqref="A4"/>
    </sheetView>
  </sheetViews>
  <sheetFormatPr baseColWidth="8" defaultColWidth="8.66796875" defaultRowHeight="15" zeroHeight="0" outlineLevelRow="0"/>
  <cols>
    <col width="34" customWidth="1" style="38" min="1" max="1"/>
    <col width="22" customWidth="1" style="38" min="2" max="2"/>
    <col width="16" customWidth="1" style="38" min="3" max="3"/>
    <col width="8" customWidth="1" style="38" min="4" max="4"/>
  </cols>
  <sheetData>
    <row r="1" ht="19.5" customHeight="1" s="39">
      <c r="A1" s="40" t="inlineStr">
        <is>
          <t>Schedule A: Cash, Savings, Certificates</t>
        </is>
      </c>
    </row>
    <row r="2" ht="15" customHeight="1" s="39">
      <c r="A2" s="46" t="inlineStr">
        <is>
          <t>Name of Bank / Institution</t>
        </is>
      </c>
      <c r="B2" s="46" t="inlineStr">
        <is>
          <t>Type of Account</t>
        </is>
      </c>
      <c r="C2" s="46" t="inlineStr">
        <is>
          <t>Acct Balance</t>
        </is>
      </c>
      <c r="D2" s="46" t="inlineStr">
        <is>
          <t>S/J/T</t>
        </is>
      </c>
    </row>
    <row r="3" ht="15" customHeight="1" s="39">
      <c r="A3" s="45" t="inlineStr">
        <is>
          <t>Schwab (Acct 8704-0675)</t>
        </is>
      </c>
      <c r="B3" s="45" t="inlineStr">
        <is>
          <t>Brokerage Cash (Free Credit)</t>
        </is>
      </c>
      <c r="C3" s="48" t="n">
        <v>361.71</v>
      </c>
      <c r="D3" s="45" t="inlineStr">
        <is>
          <t>S</t>
        </is>
      </c>
    </row>
    <row r="4" ht="15" customHeight="1" s="39">
      <c r="A4" s="45" t="inlineStr">
        <is>
          <t>Columbia Bank - Embark Checking (Acct ...5297)</t>
        </is>
      </c>
      <c r="B4" s="45" t="inlineStr">
        <is>
          <t>Personal Checking</t>
        </is>
      </c>
      <c r="C4" s="48" t="n">
        <v>28804.57</v>
      </c>
      <c r="D4" s="45" t="inlineStr">
        <is>
          <t>S</t>
        </is>
      </c>
    </row>
    <row r="5" ht="15" customHeight="1" s="39">
      <c r="A5" s="45" t="inlineStr">
        <is>
          <t>Columbia Bank - VT OH 100 LLC (...5932)</t>
        </is>
      </c>
      <c r="B5" s="45" t="inlineStr">
        <is>
          <t>Business Checking</t>
        </is>
      </c>
      <c r="C5" s="48" t="n">
        <v>195624.83</v>
      </c>
      <c r="D5" s="45" t="inlineStr">
        <is>
          <t>S</t>
        </is>
      </c>
    </row>
    <row r="6" ht="15" customHeight="1" s="39">
      <c r="A6" s="45" t="inlineStr">
        <is>
          <t>Columbia Bank - VT 3045 LLC (...9568)</t>
        </is>
      </c>
      <c r="B6" s="45" t="inlineStr">
        <is>
          <t>Business Checking</t>
        </is>
      </c>
      <c r="C6" s="48" t="n">
        <v>5965.68</v>
      </c>
      <c r="D6" s="45" t="inlineStr">
        <is>
          <t>S</t>
        </is>
      </c>
    </row>
    <row r="7" ht="15" customHeight="1" s="39">
      <c r="A7" s="45" t="inlineStr">
        <is>
          <t>Columbia Bank - VT 3021 LLC (...5079)</t>
        </is>
      </c>
      <c r="B7" s="45" t="inlineStr">
        <is>
          <t>Business Checking</t>
        </is>
      </c>
      <c r="C7" s="48" t="n">
        <v>5143.35</v>
      </c>
      <c r="D7" s="45" t="inlineStr">
        <is>
          <t>S</t>
        </is>
      </c>
    </row>
    <row r="8" ht="15" customHeight="1" s="39">
      <c r="A8" s="45" t="inlineStr">
        <is>
          <t>Columbia Bank - VT 1277 LLC (...0709)</t>
        </is>
      </c>
      <c r="B8" s="45" t="inlineStr">
        <is>
          <t>Business Checking</t>
        </is>
      </c>
      <c r="C8" s="48" t="n">
        <v>22128.94</v>
      </c>
      <c r="D8" s="45" t="inlineStr">
        <is>
          <t>S</t>
        </is>
      </c>
    </row>
    <row r="9" ht="15" customHeight="1" s="39">
      <c r="A9" s="45" t="inlineStr">
        <is>
          <t>Columbia Bank - VT 1207 LLC (...5344)</t>
        </is>
      </c>
      <c r="B9" s="45" t="inlineStr">
        <is>
          <t>Business Checking</t>
        </is>
      </c>
      <c r="C9" s="48" t="n">
        <v>60912.52</v>
      </c>
      <c r="D9" s="45" t="inlineStr">
        <is>
          <t>S</t>
        </is>
      </c>
    </row>
    <row r="10" ht="15" customHeight="1" s="39">
      <c r="A10" s="45" t="inlineStr">
        <is>
          <t>Columbia Bank - VT 2021 LLC (...6841)</t>
        </is>
      </c>
      <c r="B10" s="45" t="inlineStr">
        <is>
          <t>Business Checking</t>
        </is>
      </c>
      <c r="C10" s="48" t="n">
        <v>4766.48</v>
      </c>
      <c r="D10" s="45" t="inlineStr">
        <is>
          <t>S</t>
        </is>
      </c>
    </row>
    <row r="11" ht="15" customHeight="1" s="39">
      <c r="A11" s="45" t="inlineStr">
        <is>
          <t>Columbia Bank - VT 3011 LLC (...4419)</t>
        </is>
      </c>
      <c r="B11" s="45" t="inlineStr">
        <is>
          <t>Business Checking</t>
        </is>
      </c>
      <c r="C11" s="48" t="n">
        <v>6508.23</v>
      </c>
      <c r="D11" s="45" t="inlineStr">
        <is>
          <t>S</t>
        </is>
      </c>
    </row>
    <row r="12" ht="15" customHeight="1" s="39">
      <c r="A12" s="45" t="inlineStr">
        <is>
          <t>Columbia Bank - VT 1992 LLC (...6320)</t>
        </is>
      </c>
      <c r="B12" s="45" t="inlineStr">
        <is>
          <t>Business Checking</t>
        </is>
      </c>
      <c r="C12" s="48" t="n">
        <v>11927.55</v>
      </c>
      <c r="D12" s="45" t="inlineStr">
        <is>
          <t>S</t>
        </is>
      </c>
    </row>
    <row r="13" ht="15" customHeight="1" s="39">
      <c r="A13" s="45" t="inlineStr">
        <is>
          <t>Columbia Bank - VT 3400 LLC (...6844)</t>
        </is>
      </c>
      <c r="B13" s="45" t="inlineStr">
        <is>
          <t>Business Checking</t>
        </is>
      </c>
      <c r="C13" s="48" t="n">
        <v>1144.91</v>
      </c>
      <c r="D13" s="45" t="inlineStr">
        <is>
          <t>S</t>
        </is>
      </c>
    </row>
    <row r="14" ht="15" customHeight="1" s="39">
      <c r="A14" s="45" t="inlineStr">
        <is>
          <t>Columbia Bank - VT 3149 LLC (...1808)</t>
        </is>
      </c>
      <c r="B14" s="45" t="inlineStr">
        <is>
          <t>Business Checking</t>
        </is>
      </c>
      <c r="C14" s="48" t="n">
        <v>742</v>
      </c>
      <c r="D14" s="45" t="inlineStr">
        <is>
          <t>S</t>
        </is>
      </c>
    </row>
    <row r="15" ht="15" customHeight="1" s="39">
      <c r="A15" s="45" t="inlineStr">
        <is>
          <t>Columbia Bank - VT Pro Design Inc (...4894)</t>
        </is>
      </c>
      <c r="B15" s="45" t="inlineStr">
        <is>
          <t>Business Checking</t>
        </is>
      </c>
      <c r="C15" s="48" t="n">
        <v>638.25</v>
      </c>
      <c r="D15" s="45" t="inlineStr">
        <is>
          <t>S</t>
        </is>
      </c>
    </row>
    <row r="16" ht="15" customHeight="1" s="39">
      <c r="A16" s="45" t="inlineStr">
        <is>
          <t>U.S. Bank - Vartan Personal (...0927)</t>
        </is>
      </c>
      <c r="B16" s="45" t="inlineStr">
        <is>
          <t>Personal Checking</t>
        </is>
      </c>
      <c r="C16" s="48" t="n">
        <v>22319.55</v>
      </c>
      <c r="D16" s="45" t="inlineStr">
        <is>
          <t>S</t>
        </is>
      </c>
    </row>
    <row r="17" ht="15" customHeight="1" s="39">
      <c r="A17" s="45" t="inlineStr">
        <is>
          <t>Columbia Bank - VT 826 LLC Operating (...5684)</t>
        </is>
      </c>
      <c r="B17" s="45" t="inlineStr">
        <is>
          <t>Business Checking</t>
        </is>
      </c>
      <c r="C17" s="48" t="n">
        <v>91999.95</v>
      </c>
      <c r="D17" s="45" t="inlineStr">
        <is>
          <t>S</t>
        </is>
      </c>
    </row>
    <row r="18" ht="15" customHeight="1" s="39">
      <c r="A18" s="45" t="inlineStr">
        <is>
          <t>Columbia Bank - VT 826 LLC DACA (...4155)</t>
        </is>
      </c>
      <c r="B18" s="45" t="inlineStr">
        <is>
          <t>Business Checking</t>
        </is>
      </c>
      <c r="C18" s="48" t="n">
        <v>4727.48</v>
      </c>
      <c r="D18" s="45" t="inlineStr">
        <is>
          <t>S</t>
        </is>
      </c>
    </row>
    <row r="19" ht="15" customHeight="1" s="39">
      <c r="A19" s="45" t="inlineStr">
        <is>
          <t>Columbia Bank - VT 826 LLC Capex (...0889)</t>
        </is>
      </c>
      <c r="B19" s="45" t="inlineStr">
        <is>
          <t>Business Checking</t>
        </is>
      </c>
      <c r="C19" s="48" t="n">
        <v>14288.56</v>
      </c>
      <c r="D19" s="45" t="inlineStr">
        <is>
          <t>S</t>
        </is>
      </c>
    </row>
    <row r="20" ht="15" customHeight="1" s="39">
      <c r="A20" s="45" t="inlineStr">
        <is>
          <t>Columbia Bank - VT 2709 LLC (...8778)</t>
        </is>
      </c>
      <c r="B20" s="45" t="inlineStr">
        <is>
          <t>Business Checking</t>
        </is>
      </c>
      <c r="C20" s="48" t="n">
        <v>8991.92</v>
      </c>
      <c r="D20" s="45" t="inlineStr">
        <is>
          <t>S</t>
        </is>
      </c>
    </row>
    <row r="21" ht="15" customHeight="1" s="39">
      <c r="A21" s="45" t="inlineStr">
        <is>
          <t>Columbia Bank - VT 2705 LLC (...9160)</t>
        </is>
      </c>
      <c r="B21" s="45" t="inlineStr">
        <is>
          <t>Business Checking</t>
        </is>
      </c>
      <c r="C21" s="48" t="n">
        <v>42676.94</v>
      </c>
      <c r="D21" s="45" t="inlineStr">
        <is>
          <t>S</t>
        </is>
      </c>
    </row>
    <row r="22" ht="15" customHeight="1" s="39">
      <c r="A22" s="45" t="inlineStr">
        <is>
          <t>Columbia Bank - VT OH 100 LLC CD (...3408)</t>
        </is>
      </c>
      <c r="B22" s="45" t="inlineStr">
        <is>
          <t>Certificate of Deposit</t>
        </is>
      </c>
      <c r="C22" s="48" t="n">
        <v>56781.03</v>
      </c>
      <c r="D22" s="45" t="inlineStr">
        <is>
          <t>S</t>
        </is>
      </c>
    </row>
    <row r="23" ht="15" customHeight="1" s="39">
      <c r="A23" s="45" t="inlineStr">
        <is>
          <t>Umpqua Bank - VT OH 100 LLC CD (...3408)</t>
        </is>
      </c>
      <c r="B23" s="45" t="inlineStr">
        <is>
          <t>Certificate of Deposit</t>
        </is>
      </c>
      <c r="C23" s="48" t="n">
        <v>55618.15</v>
      </c>
      <c r="D23" s="45" t="inlineStr">
        <is>
          <t>S</t>
        </is>
      </c>
    </row>
    <row r="24" ht="15" customHeight="1" s="39">
      <c r="B24" s="50" t="inlineStr">
        <is>
          <t>Total</t>
        </is>
      </c>
      <c r="C24" s="51">
        <f>SUM(C3:C23)</f>
        <v/>
      </c>
    </row>
  </sheetData>
  <mergeCells count="1">
    <mergeCell ref="A1:D1"/>
  </mergeCells>
  <dataValidations count="1">
    <dataValidation sqref="D3:D14" showDropDown="0" showInputMessage="0" showErrorMessage="0" allowBlank="1" type="list" errorStyle="stop" operator="between">
      <formula1>"S,J,T"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23"/>
  <sheetViews>
    <sheetView showFormulas="0" showGridLines="1" showRowColHeaders="1" showZeros="1" rightToLeft="0" tabSelected="0" showOutlineSymbols="1" defaultGridColor="1" view="normal" topLeftCell="A1" colorId="64" zoomScale="144" zoomScaleNormal="144" zoomScalePageLayoutView="100" workbookViewId="0">
      <pane xSplit="0" ySplit="2" topLeftCell="A3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8.66796875" defaultRowHeight="15" zeroHeight="0" outlineLevelRow="0"/>
  <cols>
    <col width="14" customWidth="1" style="38" min="1" max="1"/>
    <col width="31.16" customWidth="1" style="38" min="2" max="2"/>
    <col width="12" customWidth="1" style="38" min="3" max="3"/>
    <col width="13" customWidth="1" style="38" min="4" max="4"/>
    <col width="15" customWidth="1" style="38" min="5" max="5"/>
    <col width="9" customWidth="1" style="38" min="6" max="6"/>
    <col width="22" customWidth="1" style="38" min="7" max="7"/>
    <col width="16" customWidth="1" style="38" min="8" max="8"/>
    <col width="8" customWidth="1" style="38" min="9" max="9"/>
  </cols>
  <sheetData>
    <row r="1" ht="19.5" customHeight="1" s="39">
      <c r="A1" s="40" t="inlineStr">
        <is>
          <t>Schedule B: Marketable / Closely Held Securities (attach statements)</t>
        </is>
      </c>
    </row>
    <row r="2" ht="15" customHeight="1" s="39">
      <c r="A2" s="46" t="inlineStr">
        <is>
          <t>Category</t>
        </is>
      </c>
      <c r="B2" s="46" t="inlineStr">
        <is>
          <t>Description</t>
        </is>
      </c>
      <c r="C2" s="46" t="inlineStr">
        <is>
          <t>No. Shares</t>
        </is>
      </c>
      <c r="D2" s="46" t="inlineStr">
        <is>
          <t>Price / Share</t>
        </is>
      </c>
      <c r="E2" s="46" t="inlineStr">
        <is>
          <t>Total Value</t>
        </is>
      </c>
      <c r="F2" s="46" t="inlineStr">
        <is>
          <t>Pledged?</t>
        </is>
      </c>
      <c r="G2" s="46" t="inlineStr">
        <is>
          <t>In the Name of</t>
        </is>
      </c>
      <c r="H2" s="46" t="inlineStr">
        <is>
          <t>Broker</t>
        </is>
      </c>
      <c r="I2" s="46" t="inlineStr">
        <is>
          <t>S/J/T</t>
        </is>
      </c>
    </row>
    <row r="3" ht="15" customHeight="1" s="39">
      <c r="A3" s="45" t="inlineStr">
        <is>
          <t>Marketable</t>
        </is>
      </c>
      <c r="B3" s="45" t="inlineStr">
        <is>
          <t>SUTXX - Schwab US Treasury Money Fund</t>
        </is>
      </c>
      <c r="C3" s="45" t="n">
        <v>1687977.28</v>
      </c>
      <c r="D3" s="48" t="n">
        <v>1</v>
      </c>
      <c r="E3" s="54">
        <f>C3*D3</f>
        <v/>
      </c>
      <c r="F3" s="45" t="inlineStr">
        <is>
          <t>No</t>
        </is>
      </c>
      <c r="G3" s="45" t="inlineStr">
        <is>
          <t>Vartan Tchekmedyian</t>
        </is>
      </c>
      <c r="H3" s="45" t="inlineStr">
        <is>
          <t>Schwab</t>
        </is>
      </c>
      <c r="I3" s="45" t="inlineStr">
        <is>
          <t>S</t>
        </is>
      </c>
    </row>
    <row r="4" ht="15" customHeight="1" s="39">
      <c r="A4" s="45" t="inlineStr">
        <is>
          <t>Marketable</t>
        </is>
      </c>
      <c r="B4" s="45" t="inlineStr">
        <is>
          <t>Crypto (Coinbase, MetaMask, Trust Wallet)</t>
        </is>
      </c>
      <c r="C4" s="45" t="n">
        <v>1</v>
      </c>
      <c r="D4" s="48">
        <f>106724.9312+36425+8147.0188</f>
        <v/>
      </c>
      <c r="E4" s="54">
        <f>C4*D4</f>
        <v/>
      </c>
      <c r="F4" s="45" t="inlineStr">
        <is>
          <t>No</t>
        </is>
      </c>
      <c r="G4" s="45" t="inlineStr">
        <is>
          <t>Vartan Tchekmedyian</t>
        </is>
      </c>
      <c r="H4" s="45" t="inlineStr">
        <is>
          <t>Various</t>
        </is>
      </c>
      <c r="I4" s="45" t="inlineStr">
        <is>
          <t>S</t>
        </is>
      </c>
    </row>
    <row r="5" ht="15" customHeight="1" s="39">
      <c r="A5" s="45" t="inlineStr">
        <is>
          <t>Marketable</t>
        </is>
      </c>
      <c r="B5" s="45" t="inlineStr">
        <is>
          <t>Fidelity Account</t>
        </is>
      </c>
      <c r="C5" s="45" t="n">
        <v>1</v>
      </c>
      <c r="D5" s="48" t="n">
        <v>495423.3215</v>
      </c>
      <c r="E5" s="54">
        <f>C5*D5</f>
        <v/>
      </c>
      <c r="F5" s="45" t="inlineStr">
        <is>
          <t>No</t>
        </is>
      </c>
      <c r="G5" s="45" t="inlineStr">
        <is>
          <t>Vartan Tchekmedyian</t>
        </is>
      </c>
      <c r="H5" s="45" t="inlineStr">
        <is>
          <t>Fidelity</t>
        </is>
      </c>
      <c r="I5" s="45" t="inlineStr">
        <is>
          <t>S</t>
        </is>
      </c>
    </row>
    <row r="6" ht="15" customHeight="1" s="39">
      <c r="A6" s="45" t="n"/>
      <c r="B6" s="45" t="n"/>
      <c r="C6" s="45" t="n"/>
      <c r="D6" s="48" t="n"/>
      <c r="E6" s="54">
        <f>C6*D6</f>
        <v/>
      </c>
      <c r="F6" s="45" t="n"/>
      <c r="G6" s="45" t="n"/>
      <c r="H6" s="45" t="n"/>
      <c r="I6" s="45" t="n"/>
    </row>
    <row r="7" ht="15" customHeight="1" s="39">
      <c r="A7" s="45" t="n"/>
      <c r="B7" s="45" t="n"/>
      <c r="C7" s="45" t="n"/>
      <c r="D7" s="48" t="n"/>
      <c r="E7" s="54">
        <f>C7*D7</f>
        <v/>
      </c>
      <c r="F7" s="45" t="n"/>
      <c r="G7" s="45" t="n"/>
      <c r="H7" s="45" t="n"/>
      <c r="I7" s="45" t="n"/>
    </row>
    <row r="8" ht="15" customHeight="1" s="39">
      <c r="A8" s="45" t="n"/>
      <c r="B8" s="45" t="n"/>
      <c r="C8" s="45" t="n"/>
      <c r="D8" s="48" t="n"/>
      <c r="E8" s="54">
        <f>C8*D8</f>
        <v/>
      </c>
      <c r="F8" s="45" t="n"/>
      <c r="G8" s="45" t="n"/>
      <c r="H8" s="45" t="n"/>
      <c r="I8" s="45" t="n"/>
    </row>
    <row r="9" ht="15" customHeight="1" s="39">
      <c r="A9" s="45" t="n"/>
      <c r="B9" s="45" t="n"/>
      <c r="C9" s="45" t="n"/>
      <c r="D9" s="48" t="n"/>
      <c r="E9" s="54">
        <f>C9*D9</f>
        <v/>
      </c>
      <c r="F9" s="45" t="n"/>
      <c r="G9" s="45" t="n"/>
      <c r="H9" s="45" t="n"/>
      <c r="I9" s="45" t="n"/>
    </row>
    <row r="10" ht="15" customHeight="1" s="39">
      <c r="A10" s="45" t="n"/>
      <c r="B10" s="45" t="n"/>
      <c r="C10" s="45" t="n"/>
      <c r="D10" s="48" t="n"/>
      <c r="E10" s="54">
        <f>C10*D10</f>
        <v/>
      </c>
      <c r="F10" s="45" t="n"/>
      <c r="G10" s="45" t="n"/>
      <c r="H10" s="45" t="n"/>
      <c r="I10" s="45" t="n"/>
    </row>
    <row r="11" ht="15" customHeight="1" s="39">
      <c r="A11" s="45" t="n"/>
      <c r="B11" s="45" t="n"/>
      <c r="C11" s="45" t="n"/>
      <c r="D11" s="48" t="n"/>
      <c r="E11" s="54">
        <f>C11*D11</f>
        <v/>
      </c>
      <c r="F11" s="45" t="n"/>
      <c r="G11" s="45" t="n"/>
      <c r="H11" s="45" t="n"/>
      <c r="I11" s="45" t="n"/>
    </row>
    <row r="12" ht="15" customHeight="1" s="39">
      <c r="A12" s="45" t="n"/>
      <c r="B12" s="45" t="n"/>
      <c r="C12" s="45" t="n"/>
      <c r="D12" s="48" t="n"/>
      <c r="E12" s="54">
        <f>C12*D12</f>
        <v/>
      </c>
      <c r="F12" s="45" t="n"/>
      <c r="G12" s="45" t="n"/>
      <c r="H12" s="45" t="n"/>
      <c r="I12" s="45" t="n"/>
    </row>
    <row r="13" ht="15" customHeight="1" s="39">
      <c r="A13" s="45" t="n"/>
      <c r="B13" s="45" t="n"/>
      <c r="C13" s="45" t="n"/>
      <c r="D13" s="48" t="n"/>
      <c r="E13" s="54">
        <f>C13*D13</f>
        <v/>
      </c>
      <c r="F13" s="45" t="n"/>
      <c r="G13" s="45" t="n"/>
      <c r="H13" s="45" t="n"/>
      <c r="I13" s="45" t="n"/>
    </row>
    <row r="14" ht="15" customHeight="1" s="39">
      <c r="A14" s="45" t="n"/>
      <c r="B14" s="45" t="n"/>
      <c r="C14" s="45" t="n"/>
      <c r="D14" s="48" t="n"/>
      <c r="E14" s="54">
        <f>C14*D14</f>
        <v/>
      </c>
      <c r="F14" s="45" t="n"/>
      <c r="G14" s="45" t="n"/>
      <c r="H14" s="45" t="n"/>
      <c r="I14" s="45" t="n"/>
    </row>
    <row r="15" ht="15" customHeight="1" s="39">
      <c r="A15" s="45" t="n"/>
      <c r="B15" s="45" t="n"/>
      <c r="C15" s="45" t="n"/>
      <c r="D15" s="48" t="n"/>
      <c r="E15" s="54">
        <f>C15*D15</f>
        <v/>
      </c>
      <c r="F15" s="45" t="n"/>
      <c r="G15" s="45" t="n"/>
      <c r="H15" s="45" t="n"/>
      <c r="I15" s="45" t="n"/>
    </row>
    <row r="16" ht="15" customHeight="1" s="39">
      <c r="A16" s="45" t="n"/>
      <c r="B16" s="45" t="n"/>
      <c r="C16" s="45" t="n"/>
      <c r="D16" s="48" t="n"/>
      <c r="E16" s="54">
        <f>C16*D16</f>
        <v/>
      </c>
      <c r="F16" s="45" t="n"/>
      <c r="G16" s="45" t="n"/>
      <c r="H16" s="45" t="n"/>
      <c r="I16" s="45" t="n"/>
    </row>
    <row r="17" ht="15" customHeight="1" s="39">
      <c r="A17" s="45" t="n"/>
      <c r="B17" s="45" t="n"/>
      <c r="C17" s="45" t="n"/>
      <c r="D17" s="48" t="n"/>
      <c r="E17" s="54">
        <f>C17*D17</f>
        <v/>
      </c>
      <c r="F17" s="45" t="n"/>
      <c r="G17" s="45" t="n"/>
      <c r="H17" s="45" t="n"/>
      <c r="I17" s="45" t="n"/>
    </row>
    <row r="18" ht="15" customHeight="1" s="39">
      <c r="A18" s="45" t="n"/>
      <c r="B18" s="45" t="n"/>
      <c r="C18" s="45" t="n"/>
      <c r="D18" s="48" t="n"/>
      <c r="E18" s="54">
        <f>C18*D18</f>
        <v/>
      </c>
      <c r="F18" s="45" t="n"/>
      <c r="G18" s="45" t="n"/>
      <c r="H18" s="45" t="n"/>
      <c r="I18" s="45" t="n"/>
    </row>
    <row r="19" ht="15" customHeight="1" s="39">
      <c r="A19" s="45" t="n"/>
      <c r="B19" s="45" t="n"/>
      <c r="C19" s="45" t="n"/>
      <c r="D19" s="48" t="n"/>
      <c r="E19" s="54">
        <f>C19*D19</f>
        <v/>
      </c>
      <c r="F19" s="45" t="n"/>
      <c r="G19" s="45" t="n"/>
      <c r="H19" s="45" t="n"/>
      <c r="I19" s="45" t="n"/>
    </row>
    <row r="20" ht="15" customHeight="1" s="39">
      <c r="A20" s="45" t="n"/>
      <c r="B20" s="45" t="n"/>
      <c r="C20" s="45" t="n"/>
      <c r="D20" s="48" t="n"/>
      <c r="E20" s="54">
        <f>C20*D20</f>
        <v/>
      </c>
      <c r="F20" s="45" t="n"/>
      <c r="G20" s="45" t="n"/>
      <c r="H20" s="45" t="n"/>
      <c r="I20" s="45" t="n"/>
    </row>
    <row r="21" ht="15" customHeight="1" s="39">
      <c r="A21" s="45" t="n"/>
      <c r="B21" s="45" t="n"/>
      <c r="C21" s="45" t="n"/>
      <c r="D21" s="48" t="n"/>
      <c r="E21" s="54">
        <f>C21*D21</f>
        <v/>
      </c>
      <c r="F21" s="45" t="n"/>
      <c r="G21" s="45" t="n"/>
      <c r="H21" s="45" t="n"/>
      <c r="I21" s="45" t="n"/>
    </row>
    <row r="22" ht="15" customHeight="1" s="39">
      <c r="A22" s="45" t="n"/>
      <c r="B22" s="45" t="n"/>
      <c r="C22" s="45" t="n"/>
      <c r="D22" s="48" t="n"/>
      <c r="E22" s="54">
        <f>C22*D22</f>
        <v/>
      </c>
      <c r="F22" s="45" t="n"/>
      <c r="G22" s="45" t="n"/>
      <c r="H22" s="45" t="n"/>
      <c r="I22" s="45" t="n"/>
    </row>
    <row r="23" ht="15" customHeight="1" s="39">
      <c r="D23" s="41" t="inlineStr">
        <is>
          <t>Total</t>
        </is>
      </c>
      <c r="E23" s="51">
        <f>SUM(E3:E22)</f>
        <v/>
      </c>
    </row>
  </sheetData>
  <mergeCells count="1">
    <mergeCell ref="A1:I1"/>
  </mergeCells>
  <dataValidations count="3">
    <dataValidation sqref="A3:A22" showDropDown="0" showInputMessage="0" showErrorMessage="0" allowBlank="1" type="list" errorStyle="stop" operator="between">
      <formula1>"Marketable,Other"</formula1>
      <formula2>0</formula2>
    </dataValidation>
    <dataValidation sqref="I3:I22" showDropDown="0" showInputMessage="0" showErrorMessage="0" allowBlank="1" type="list" errorStyle="stop" operator="between">
      <formula1>"S,J,T"</formula1>
      <formula2>0</formula2>
    </dataValidation>
    <dataValidation sqref="F3:F22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X25"/>
  <sheetViews>
    <sheetView showFormulas="0" showGridLines="1" showRowColHeaders="1" showZeros="1" rightToLeft="0" tabSelected="0" showOutlineSymbols="1" defaultGridColor="1" view="normal" topLeftCell="A1" colorId="64" zoomScale="150" zoomScaleNormal="150" zoomScalePageLayoutView="100" workbookViewId="0">
      <pane xSplit="1" ySplit="4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baseColWidth="8" defaultColWidth="8.66796875" defaultRowHeight="15" zeroHeight="0" outlineLevelRow="1"/>
  <cols>
    <col width="34" customWidth="1" style="38" min="1" max="1"/>
    <col width="22" customWidth="1" style="38" min="2" max="2"/>
    <col width="8" customWidth="1" style="38" min="3" max="3"/>
    <col width="7" customWidth="1" style="38" min="4" max="4"/>
    <col width="8" customWidth="1" style="38" min="5" max="5"/>
    <col width="12" customWidth="1" style="38" min="6" max="6"/>
    <col width="14" customWidth="1" style="38" min="7" max="7"/>
    <col width="8" customWidth="1" style="38" min="8" max="8"/>
    <col width="15" customWidth="1" style="38" min="9" max="11"/>
    <col width="8" customWidth="1" style="38" min="12" max="12"/>
    <col width="16" customWidth="1" style="38" min="13" max="13"/>
    <col width="12" customWidth="1" style="38" min="14" max="14"/>
    <col width="8" customWidth="1" style="38" min="15" max="15"/>
    <col width="9" customWidth="1" style="38" min="16" max="16"/>
    <col width="13" customWidth="1" style="38" min="17" max="21"/>
    <col width="18" customWidth="1" style="38" min="22" max="22"/>
    <col width="14" customWidth="1" style="38" min="23" max="23"/>
    <col width="22" customWidth="1" style="38" min="24" max="24"/>
  </cols>
  <sheetData>
    <row r="1" ht="24" customHeight="1" s="39">
      <c r="A1" s="40" t="inlineStr">
        <is>
          <t>Schedule C: Commercial Real Estate</t>
        </is>
      </c>
    </row>
    <row r="2" ht="15" customHeight="1" s="39"/>
    <row r="3" ht="15.75" customHeight="1" s="39">
      <c r="A3" s="55" t="n"/>
      <c r="J3" s="55" t="inlineStr">
        <is>
          <t>LOAN INFORMATION</t>
        </is>
      </c>
      <c r="Q3" s="55" t="inlineStr">
        <is>
          <t>PROPERTY CASH FLOW</t>
        </is>
      </c>
      <c r="X3" s="55" t="n"/>
    </row>
    <row r="4" ht="42" customHeight="1" s="39">
      <c r="A4" s="46" t="inlineStr">
        <is>
          <t>Property Address</t>
        </is>
      </c>
      <c r="B4" s="46" t="inlineStr">
        <is>
          <t>Property Type</t>
        </is>
      </c>
      <c r="C4" s="46" t="inlineStr">
        <is>
          <t>Square
Feet</t>
        </is>
      </c>
      <c r="D4" s="46" t="inlineStr">
        <is>
          <t># of
Units</t>
        </is>
      </c>
      <c r="E4" s="46" t="inlineStr">
        <is>
          <t>%
Owned</t>
        </is>
      </c>
      <c r="F4" s="46" t="inlineStr">
        <is>
          <t>Acquisition
Date</t>
        </is>
      </c>
      <c r="G4" s="46" t="inlineStr">
        <is>
          <t>Cost</t>
        </is>
      </c>
      <c r="H4" s="46" t="inlineStr">
        <is>
          <t>Cap
Rate</t>
        </is>
      </c>
      <c r="I4" s="46" t="inlineStr">
        <is>
          <t>Est. Market
Value</t>
        </is>
      </c>
      <c r="J4" s="46" t="inlineStr">
        <is>
          <t>Loan
Balance</t>
        </is>
      </c>
      <c r="K4" s="46" t="inlineStr">
        <is>
          <t>Current
Equity</t>
        </is>
      </c>
      <c r="L4" s="46" t="inlineStr">
        <is>
          <t>Loan-to-
Value</t>
        </is>
      </c>
      <c r="M4" s="46" t="inlineStr">
        <is>
          <t>Lender</t>
        </is>
      </c>
      <c r="N4" s="46" t="inlineStr">
        <is>
          <t>Maturity
Date</t>
        </is>
      </c>
      <c r="O4" s="46" t="inlineStr">
        <is>
          <t>Interest
Rate</t>
        </is>
      </c>
      <c r="P4" s="46" t="inlineStr">
        <is>
          <t>Recourse
to Owner</t>
        </is>
      </c>
      <c r="Q4" s="46" t="inlineStr">
        <is>
          <t>Annual
Gross Rents</t>
        </is>
      </c>
      <c r="R4" s="46" t="inlineStr">
        <is>
          <t>Annual
Expenses</t>
        </is>
      </c>
      <c r="S4" s="46" t="inlineStr">
        <is>
          <t>Annual NOI</t>
        </is>
      </c>
      <c r="T4" s="46" t="inlineStr">
        <is>
          <t>Annual Debt
Service</t>
        </is>
      </c>
      <c r="U4" s="46" t="inlineStr">
        <is>
          <t>Excess
Cash Flow</t>
        </is>
      </c>
      <c r="V4" s="46" t="inlineStr">
        <is>
          <t>Improvements &amp; Cash Invested</t>
        </is>
      </c>
      <c r="W4" s="46" t="inlineStr">
        <is>
          <t>Vested
Owner</t>
        </is>
      </c>
      <c r="X4" s="46" t="inlineStr">
        <is>
          <t>Notes</t>
        </is>
      </c>
    </row>
    <row r="5" hidden="1" outlineLevel="1" ht="39.75" customHeight="1" s="39">
      <c r="A5" s="56" t="inlineStr">
        <is>
          <t>3045 Verdugo Road LA CA 90065</t>
        </is>
      </c>
      <c r="B5" s="57" t="inlineStr">
        <is>
          <t>Creative Office - SINGLE TENANT NNN LEASE</t>
        </is>
      </c>
      <c r="C5" s="58" t="n">
        <v>15300</v>
      </c>
      <c r="D5" s="56" t="n">
        <v>1</v>
      </c>
      <c r="E5" s="59" t="n">
        <v>100</v>
      </c>
      <c r="F5" s="60" t="n">
        <v>41501</v>
      </c>
      <c r="G5" s="61">
        <f>1200000+V5</f>
        <v/>
      </c>
      <c r="H5" s="62">
        <f>+S5/G5</f>
        <v/>
      </c>
      <c r="I5" s="61" t="n">
        <v>6180000</v>
      </c>
      <c r="J5" s="61" t="n"/>
      <c r="K5" s="61" t="n"/>
      <c r="L5" s="62" t="n"/>
      <c r="M5" s="56" t="n"/>
      <c r="N5" s="60" t="n"/>
      <c r="O5" s="63" t="n"/>
      <c r="P5" s="56" t="n"/>
      <c r="Q5" s="61">
        <f>1.03*309000</f>
        <v/>
      </c>
      <c r="R5" s="61" t="n">
        <v>0</v>
      </c>
      <c r="S5" s="61">
        <f>+Q5-R5</f>
        <v/>
      </c>
      <c r="T5" s="61" t="n"/>
      <c r="U5" s="61" t="n"/>
      <c r="V5" s="61" t="n">
        <v>0</v>
      </c>
      <c r="W5" s="56" t="inlineStr">
        <is>
          <t>VT 3045 LLC</t>
        </is>
      </c>
      <c r="X5" s="56" t="n"/>
    </row>
    <row r="6" hidden="1" outlineLevel="1" ht="39.75" customHeight="1" s="39">
      <c r="A6" s="56" t="inlineStr">
        <is>
          <t>3021 Verdugo Road LA CA 90065</t>
        </is>
      </c>
      <c r="B6" s="57" t="inlineStr">
        <is>
          <t>Creative Office - SINGLE TENANT NNN LEASE</t>
        </is>
      </c>
      <c r="C6" s="58" t="n">
        <v>5961</v>
      </c>
      <c r="D6" s="56" t="n">
        <v>1</v>
      </c>
      <c r="E6" s="59" t="n">
        <v>100</v>
      </c>
      <c r="F6" s="60" t="n">
        <v>42359</v>
      </c>
      <c r="G6" s="61">
        <f>V6+ 975000</f>
        <v/>
      </c>
      <c r="H6" s="62">
        <f>+S6/G6</f>
        <v/>
      </c>
      <c r="I6" s="61" t="n">
        <v>4681745</v>
      </c>
      <c r="J6" s="61" t="n"/>
      <c r="K6" s="61" t="n"/>
      <c r="L6" s="62" t="n"/>
      <c r="M6" s="56" t="n"/>
      <c r="N6" s="60" t="n"/>
      <c r="O6" s="63" t="n"/>
      <c r="P6" s="56" t="n"/>
      <c r="Q6" s="61">
        <f>1.03*257496</f>
        <v/>
      </c>
      <c r="R6" s="61" t="n">
        <v>0</v>
      </c>
      <c r="S6" s="61">
        <f>+Q6-R6</f>
        <v/>
      </c>
      <c r="T6" s="61" t="n"/>
      <c r="U6" s="61" t="n"/>
      <c r="V6" s="61" t="n">
        <v>65000</v>
      </c>
      <c r="W6" s="56" t="inlineStr">
        <is>
          <t xml:space="preserve">VT 3021 LLC </t>
        </is>
      </c>
      <c r="X6" s="56" t="n"/>
    </row>
    <row r="7" hidden="1" outlineLevel="1" ht="39.75" customHeight="1" s="39">
      <c r="A7" s="56" t="inlineStr">
        <is>
          <t>3011 Verdugo Road LA CA 90065</t>
        </is>
      </c>
      <c r="B7" s="57" t="inlineStr">
        <is>
          <t>Creative Office - SINGLE TENANT NNN LEASE</t>
        </is>
      </c>
      <c r="C7" s="58" t="n">
        <v>3200</v>
      </c>
      <c r="D7" s="56" t="n">
        <v>1</v>
      </c>
      <c r="E7" s="59" t="n">
        <v>100</v>
      </c>
      <c r="F7" s="60" t="n">
        <v>42515</v>
      </c>
      <c r="G7" s="61">
        <f>V7+ 900000</f>
        <v/>
      </c>
      <c r="H7" s="62">
        <f>+S7/G7</f>
        <v/>
      </c>
      <c r="I7" s="61" t="n">
        <v>2809091</v>
      </c>
      <c r="J7" s="61" t="n"/>
      <c r="K7" s="61" t="n"/>
      <c r="L7" s="62" t="n"/>
      <c r="M7" s="56" t="n"/>
      <c r="N7" s="60" t="n"/>
      <c r="O7" s="63" t="n"/>
      <c r="P7" s="56" t="n"/>
      <c r="Q7" s="61">
        <f>1.03*154500</f>
        <v/>
      </c>
      <c r="R7" s="61" t="n">
        <v>0</v>
      </c>
      <c r="S7" s="61">
        <f>+Q7-R7</f>
        <v/>
      </c>
      <c r="T7" s="61" t="n"/>
      <c r="U7" s="61" t="n"/>
      <c r="V7" s="61" t="n">
        <v>100000</v>
      </c>
      <c r="W7" s="56" t="inlineStr">
        <is>
          <t>VT 3011 LLC</t>
        </is>
      </c>
      <c r="X7" s="56" t="n"/>
    </row>
    <row r="8" hidden="1" outlineLevel="1" ht="39.75" customHeight="1" s="39">
      <c r="A8" s="56" t="inlineStr">
        <is>
          <t>2920 Eagle Rock Blvd LA CA 90065</t>
        </is>
      </c>
      <c r="B8" s="57" t="inlineStr">
        <is>
          <t>Creative Office - SINGLE TENANT NNN LEASE</t>
        </is>
      </c>
      <c r="C8" s="58" t="n">
        <v>1100</v>
      </c>
      <c r="D8" s="56" t="n">
        <v>1</v>
      </c>
      <c r="E8" s="59" t="n">
        <v>100</v>
      </c>
      <c r="F8" s="60" t="n">
        <v>43409</v>
      </c>
      <c r="G8" s="61">
        <f>V8+ 1700000</f>
        <v/>
      </c>
      <c r="H8" s="62">
        <f>+S8/G8</f>
        <v/>
      </c>
      <c r="I8" s="61" t="n">
        <v>1700000</v>
      </c>
      <c r="J8" s="61" t="n">
        <v>486129</v>
      </c>
      <c r="K8" s="61">
        <f>I8-J8</f>
        <v/>
      </c>
      <c r="L8" s="62">
        <f>(J8/I8)</f>
        <v/>
      </c>
      <c r="M8" s="56" t="inlineStr">
        <is>
          <t>SELLER FINANCED</t>
        </is>
      </c>
      <c r="N8" s="60" t="n">
        <v>49820</v>
      </c>
      <c r="O8" s="63" t="n">
        <v>0.0475</v>
      </c>
      <c r="P8" s="56" t="inlineStr">
        <is>
          <t>YES</t>
        </is>
      </c>
      <c r="Q8" s="61">
        <f>1.03*154500</f>
        <v/>
      </c>
      <c r="R8" s="61" t="n">
        <v>0</v>
      </c>
      <c r="S8" s="61">
        <f>+Q8-R8</f>
        <v/>
      </c>
      <c r="T8" s="61">
        <f>5234.21*12</f>
        <v/>
      </c>
      <c r="U8" s="61">
        <f>+S8-T8</f>
        <v/>
      </c>
      <c r="V8" s="61" t="n">
        <v>49000</v>
      </c>
      <c r="W8" s="56" t="inlineStr">
        <is>
          <t>VT 2021 LLC</t>
        </is>
      </c>
      <c r="X8" s="56" t="n"/>
    </row>
    <row r="9" hidden="1" outlineLevel="1" ht="39.75" customHeight="1" s="39">
      <c r="A9" s="56" t="n"/>
      <c r="B9" s="57" t="n"/>
      <c r="C9" s="58" t="n"/>
      <c r="D9" s="56" t="n"/>
      <c r="E9" s="59" t="n"/>
      <c r="F9" s="60" t="n"/>
      <c r="G9" s="61" t="n"/>
      <c r="H9" s="62" t="n"/>
      <c r="I9" s="61" t="n"/>
      <c r="J9" s="61" t="n">
        <v>5300929</v>
      </c>
      <c r="K9" s="61" t="n"/>
      <c r="L9" s="62" t="n"/>
      <c r="M9" s="56" t="inlineStr">
        <is>
          <t>UMPQUA</t>
        </is>
      </c>
      <c r="N9" s="60" t="n">
        <v>48523</v>
      </c>
      <c r="O9" s="63" t="n">
        <v>0.05</v>
      </c>
      <c r="P9" s="56" t="inlineStr">
        <is>
          <t>YES</t>
        </is>
      </c>
      <c r="Q9" s="61" t="n"/>
      <c r="R9" s="61" t="n"/>
      <c r="S9" s="61" t="n"/>
      <c r="T9" s="61" t="n">
        <v>353952</v>
      </c>
      <c r="U9" s="61" t="n"/>
      <c r="V9" s="61" t="n"/>
      <c r="W9" s="56" t="n"/>
      <c r="X9" s="56" t="n"/>
    </row>
    <row r="10" hidden="1" outlineLevel="1" ht="39.75" customHeight="1" s="39">
      <c r="A10" s="56" t="n"/>
      <c r="B10" s="57" t="n"/>
      <c r="C10" s="58" t="n"/>
      <c r="D10" s="56" t="n"/>
      <c r="E10" s="59" t="n"/>
      <c r="F10" s="60" t="n"/>
      <c r="G10" s="61" t="n"/>
      <c r="H10" s="62" t="n"/>
      <c r="I10" s="61" t="n"/>
      <c r="J10" s="61" t="n">
        <v>3062570</v>
      </c>
      <c r="K10" s="61" t="n"/>
      <c r="L10" s="62" t="n"/>
      <c r="M10" s="56" t="inlineStr">
        <is>
          <t>UMPQUA</t>
        </is>
      </c>
      <c r="N10" s="60" t="n">
        <v>47092</v>
      </c>
      <c r="O10" s="63" t="n">
        <v>0.0499</v>
      </c>
      <c r="P10" s="56" t="inlineStr">
        <is>
          <t>YES</t>
        </is>
      </c>
      <c r="Q10" s="61" t="n"/>
      <c r="R10" s="61" t="n"/>
      <c r="S10" s="61" t="n"/>
      <c r="T10" s="61" t="n">
        <v>225120</v>
      </c>
      <c r="U10" s="61" t="n"/>
      <c r="V10" s="61" t="n"/>
      <c r="W10" s="56" t="n"/>
      <c r="X10" s="56" t="n"/>
    </row>
    <row r="11" hidden="1" outlineLevel="1" ht="39.75" customHeight="1" s="39">
      <c r="A11" s="56" t="n"/>
      <c r="B11" s="57" t="n"/>
      <c r="C11" s="58" t="n"/>
      <c r="D11" s="56" t="n"/>
      <c r="E11" s="59" t="n"/>
      <c r="F11" s="60" t="n"/>
      <c r="G11" s="61" t="n"/>
      <c r="H11" s="62" t="n"/>
      <c r="I11" s="61" t="n"/>
      <c r="J11" s="61" t="n">
        <v>672000</v>
      </c>
      <c r="K11" s="61" t="n"/>
      <c r="L11" s="62" t="n"/>
      <c r="M11" s="56" t="inlineStr">
        <is>
          <t>SBA EIDL</t>
        </is>
      </c>
      <c r="N11" s="60" t="n">
        <v>55476</v>
      </c>
      <c r="O11" s="63" t="n">
        <v>0.0375</v>
      </c>
      <c r="P11" s="56" t="inlineStr">
        <is>
          <t>YES</t>
        </is>
      </c>
      <c r="Q11" s="61" t="n"/>
      <c r="R11" s="61" t="n"/>
      <c r="S11" s="61" t="n"/>
      <c r="T11" s="61">
        <f>3460*12</f>
        <v/>
      </c>
      <c r="U11" s="61" t="n"/>
      <c r="V11" s="61" t="n"/>
      <c r="W11" s="56" t="n"/>
      <c r="X11" s="56" t="n"/>
    </row>
    <row r="12" hidden="1" outlineLevel="1" ht="39.75" customHeight="1" s="39">
      <c r="A12" s="56" t="n"/>
      <c r="B12" s="57" t="n"/>
      <c r="C12" s="58" t="n"/>
      <c r="D12" s="56" t="n"/>
      <c r="E12" s="59" t="n"/>
      <c r="F12" s="60" t="n"/>
      <c r="G12" s="61" t="n"/>
      <c r="H12" s="62" t="n"/>
      <c r="I12" s="61" t="n"/>
      <c r="J12" s="61" t="n">
        <v>145000</v>
      </c>
      <c r="K12" s="61" t="n"/>
      <c r="L12" s="62" t="n"/>
      <c r="M12" s="56" t="inlineStr">
        <is>
          <t>SBA EIDL</t>
        </is>
      </c>
      <c r="N12" s="60" t="n">
        <v>55600</v>
      </c>
      <c r="O12" s="63" t="n">
        <v>0.0375</v>
      </c>
      <c r="P12" s="56" t="inlineStr">
        <is>
          <t>YES</t>
        </is>
      </c>
      <c r="Q12" s="61" t="n"/>
      <c r="R12" s="61" t="n"/>
      <c r="S12" s="61" t="n"/>
      <c r="T12" s="61">
        <f>747*12</f>
        <v/>
      </c>
      <c r="U12" s="61" t="n"/>
      <c r="V12" s="61" t="n"/>
      <c r="W12" s="56" t="n"/>
      <c r="X12" s="56" t="n"/>
    </row>
    <row r="13" ht="39.75" customHeight="1" s="39">
      <c r="A13" s="64" t="inlineStr">
        <is>
          <t>VERDUGO PORTFOLIO</t>
        </is>
      </c>
      <c r="B13" s="65" t="inlineStr">
        <is>
          <t>Creative Office - SINGLE TENANT NNN LEASE</t>
        </is>
      </c>
      <c r="C13" s="66">
        <f>SUM(C5:C8)</f>
        <v/>
      </c>
      <c r="D13" s="64">
        <f>SUM(D5:D8)</f>
        <v/>
      </c>
      <c r="E13" s="67" t="n">
        <v>100</v>
      </c>
      <c r="F13" s="68" t="n"/>
      <c r="G13" s="69">
        <f>SUM(G5:G8)</f>
        <v/>
      </c>
      <c r="H13" s="70">
        <f>+S13/G13</f>
        <v/>
      </c>
      <c r="I13" s="69">
        <f>SUM(I5:I8)</f>
        <v/>
      </c>
      <c r="J13" s="69">
        <f>SUM(J5:J12)</f>
        <v/>
      </c>
      <c r="K13" s="69">
        <f>I13-J13</f>
        <v/>
      </c>
      <c r="L13" s="70">
        <f>(J13/I13)</f>
        <v/>
      </c>
      <c r="M13" s="64" t="n"/>
      <c r="N13" s="68" t="n"/>
      <c r="O13" s="71" t="n"/>
      <c r="P13" s="64" t="n"/>
      <c r="Q13" s="69">
        <f>SUM(Q5:Q12)</f>
        <v/>
      </c>
      <c r="R13" s="69">
        <f>SUM(R5:R12)</f>
        <v/>
      </c>
      <c r="S13" s="69">
        <f>SUM(S5:S12)</f>
        <v/>
      </c>
      <c r="T13" s="69">
        <f>SUM(T5:T12)</f>
        <v/>
      </c>
      <c r="U13" s="69">
        <f>+S13-T13</f>
        <v/>
      </c>
      <c r="V13" s="69">
        <f>SUM(V5:V12)</f>
        <v/>
      </c>
      <c r="W13" s="64" t="n"/>
      <c r="X13" s="64" t="n"/>
    </row>
    <row r="14" ht="39.75" customHeight="1" s="39">
      <c r="A14" s="56" t="inlineStr">
        <is>
          <t>1201-1217 Cypress Ave LA  CA  90065</t>
        </is>
      </c>
      <c r="B14" s="56" t="inlineStr">
        <is>
          <t>Mixed Use</t>
        </is>
      </c>
      <c r="C14" s="58" t="n">
        <v>10600</v>
      </c>
      <c r="D14" s="56" t="n">
        <v>11</v>
      </c>
      <c r="E14" s="59" t="n">
        <v>93</v>
      </c>
      <c r="F14" s="60" t="n">
        <v>43648</v>
      </c>
      <c r="G14" s="61">
        <f>V14+ 2900000</f>
        <v/>
      </c>
      <c r="H14" s="62">
        <f>+S14/G14</f>
        <v/>
      </c>
      <c r="I14" s="61" t="n">
        <v>6000000</v>
      </c>
      <c r="J14" s="61" t="n">
        <v>3268815</v>
      </c>
      <c r="K14" s="61">
        <f>I14-J14</f>
        <v/>
      </c>
      <c r="L14" s="62">
        <f>J14/I14</f>
        <v/>
      </c>
      <c r="M14" s="56" t="inlineStr">
        <is>
          <t>UMPQUA</t>
        </is>
      </c>
      <c r="N14" s="60" t="n">
        <v>48204</v>
      </c>
      <c r="O14" s="63" t="n">
        <v>0.035</v>
      </c>
      <c r="P14" s="56" t="inlineStr">
        <is>
          <t>YES</t>
        </is>
      </c>
      <c r="Q14" s="61" t="n">
        <v>594133</v>
      </c>
      <c r="R14" s="61" t="n">
        <v>131224</v>
      </c>
      <c r="S14" s="61">
        <f>+Q14-R14</f>
        <v/>
      </c>
      <c r="T14" s="61">
        <f>12*(10544+8336)</f>
        <v/>
      </c>
      <c r="U14" s="61">
        <f>+S14-T14</f>
        <v/>
      </c>
      <c r="V14" s="61">
        <f>847449+83101+416258.58</f>
        <v/>
      </c>
      <c r="W14" s="56" t="inlineStr">
        <is>
          <t>VT 1207 LLC</t>
        </is>
      </c>
      <c r="X14" s="56" t="n"/>
    </row>
    <row r="15" ht="39.75" customHeight="1" s="39">
      <c r="A15" s="56" t="inlineStr">
        <is>
          <t>3149 Verdugo Road LA CA 90065</t>
        </is>
      </c>
      <c r="B15" s="56" t="inlineStr">
        <is>
          <t>Creative Office</t>
        </is>
      </c>
      <c r="C15" s="58" t="n">
        <v>3600</v>
      </c>
      <c r="D15" s="56" t="n">
        <v>1</v>
      </c>
      <c r="E15" s="59" t="n">
        <v>100</v>
      </c>
      <c r="F15" s="60" t="n">
        <v>44725</v>
      </c>
      <c r="G15" s="61">
        <f>V15+ 1350000</f>
        <v/>
      </c>
      <c r="H15" s="62">
        <f>+S15/G15</f>
        <v/>
      </c>
      <c r="I15" s="61" t="n">
        <v>2700000</v>
      </c>
      <c r="J15" s="61" t="n">
        <v>1470905</v>
      </c>
      <c r="K15" s="61">
        <f>I15-J15</f>
        <v/>
      </c>
      <c r="L15" s="62">
        <f>J15/I15</f>
        <v/>
      </c>
      <c r="M15" s="56" t="inlineStr">
        <is>
          <t>UMPQUA</t>
        </is>
      </c>
      <c r="N15" s="60" t="n">
        <v>48823</v>
      </c>
      <c r="O15" s="63" t="n">
        <v>0.0576</v>
      </c>
      <c r="P15" s="56" t="inlineStr">
        <is>
          <t>YES</t>
        </is>
      </c>
      <c r="Q15" s="61">
        <f>12600*12</f>
        <v/>
      </c>
      <c r="R15" s="61" t="n">
        <v>0</v>
      </c>
      <c r="S15" s="61">
        <f>+Q15-R15</f>
        <v/>
      </c>
      <c r="T15" s="61">
        <f>9929*12</f>
        <v/>
      </c>
      <c r="U15" s="61">
        <f>+S15-T15</f>
        <v/>
      </c>
      <c r="V15" s="61" t="n">
        <v>400000</v>
      </c>
      <c r="W15" s="56" t="inlineStr">
        <is>
          <t>VT 3149 LLC</t>
        </is>
      </c>
      <c r="X15" s="56" t="n"/>
    </row>
    <row r="16" ht="39.75" customHeight="1" s="39">
      <c r="A16" s="56" t="inlineStr">
        <is>
          <t>1974-1992 Lincoln Ave Pasadena CA 91103</t>
        </is>
      </c>
      <c r="B16" s="56" t="inlineStr">
        <is>
          <t>Retail</t>
        </is>
      </c>
      <c r="C16" s="58" t="n">
        <v>7004</v>
      </c>
      <c r="D16" s="56" t="n">
        <v>4</v>
      </c>
      <c r="E16" s="59" t="n">
        <v>100</v>
      </c>
      <c r="F16" s="60" t="n">
        <v>45002</v>
      </c>
      <c r="G16" s="61">
        <f>V16+ 4162235</f>
        <v/>
      </c>
      <c r="H16" s="62">
        <f>+S16/G16</f>
        <v/>
      </c>
      <c r="I16" s="61" t="n">
        <v>4700000</v>
      </c>
      <c r="J16" s="61" t="n">
        <v>1461625</v>
      </c>
      <c r="K16" s="61">
        <f>I16-J16</f>
        <v/>
      </c>
      <c r="L16" s="62">
        <f>J16/I16</f>
        <v/>
      </c>
      <c r="M16" s="56" t="inlineStr">
        <is>
          <t>CHASE</t>
        </is>
      </c>
      <c r="N16" s="60" t="n">
        <v>46478</v>
      </c>
      <c r="O16" s="63" t="n">
        <v>0.0371</v>
      </c>
      <c r="P16" s="56" t="inlineStr">
        <is>
          <t>NO</t>
        </is>
      </c>
      <c r="Q16" s="61">
        <f>(20952+6556)*12</f>
        <v/>
      </c>
      <c r="R16" s="61">
        <f>43255+30876+2170+4980+5970+3628+11880+8700</f>
        <v/>
      </c>
      <c r="S16" s="61">
        <f>+Q16-R16</f>
        <v/>
      </c>
      <c r="T16" s="61">
        <f>7373.58*12</f>
        <v/>
      </c>
      <c r="U16" s="61">
        <f>+S16-T16</f>
        <v/>
      </c>
      <c r="V16" s="61" t="n">
        <v>130000</v>
      </c>
      <c r="W16" s="56" t="inlineStr">
        <is>
          <t>VT 1992 LLC</t>
        </is>
      </c>
      <c r="X16" s="56" t="n"/>
    </row>
    <row r="17" ht="39.75" customHeight="1" s="39">
      <c r="A17" s="56" t="inlineStr">
        <is>
          <t>1277-1279 Cypress Ave Los Angeles CA 90065</t>
        </is>
      </c>
      <c r="B17" s="56" t="inlineStr">
        <is>
          <t>Retail</t>
        </is>
      </c>
      <c r="C17" s="58" t="n">
        <v>2400</v>
      </c>
      <c r="D17" s="56" t="n">
        <v>2</v>
      </c>
      <c r="E17" s="59" t="n">
        <v>82</v>
      </c>
      <c r="F17" s="60" t="n">
        <v>45458</v>
      </c>
      <c r="G17" s="61">
        <f>V17+ 688000</f>
        <v/>
      </c>
      <c r="H17" s="62">
        <f>+S17/G17</f>
        <v/>
      </c>
      <c r="I17" s="61" t="n">
        <v>1200000</v>
      </c>
      <c r="J17" s="61" t="n"/>
      <c r="K17" s="61">
        <f>I17-J17</f>
        <v/>
      </c>
      <c r="L17" s="62" t="n"/>
      <c r="M17" s="56" t="n"/>
      <c r="N17" s="60" t="n"/>
      <c r="O17" s="63" t="n"/>
      <c r="P17" s="56" t="n"/>
      <c r="Q17" s="61">
        <f>(2813+5250)*12</f>
        <v/>
      </c>
      <c r="R17" s="61" t="n">
        <v>15000</v>
      </c>
      <c r="S17" s="61">
        <f>+Q17-R17</f>
        <v/>
      </c>
      <c r="T17" s="61" t="n"/>
      <c r="U17" s="61">
        <f>+S17-T17</f>
        <v/>
      </c>
      <c r="V17" s="61" t="n">
        <v>60000</v>
      </c>
      <c r="W17" s="56" t="inlineStr">
        <is>
          <t>VT 1277 LLC</t>
        </is>
      </c>
      <c r="X17" s="56" t="n"/>
    </row>
    <row r="18" ht="39.75" customHeight="1" s="39">
      <c r="A18" s="56" t="inlineStr">
        <is>
          <t>100 E Broad St Columbus OH 43215</t>
        </is>
      </c>
      <c r="B18" s="56" t="inlineStr">
        <is>
          <t>Office</t>
        </is>
      </c>
      <c r="C18" s="58" t="n">
        <v>364296</v>
      </c>
      <c r="D18" s="72" t="inlineStr">
        <is>
          <t>40+</t>
        </is>
      </c>
      <c r="E18" s="59" t="n">
        <v>100</v>
      </c>
      <c r="F18" s="60" t="n">
        <v>45761</v>
      </c>
      <c r="G18" s="61" t="n">
        <v>3400000</v>
      </c>
      <c r="H18" s="62">
        <f>+S18/G18</f>
        <v/>
      </c>
      <c r="I18" s="61" t="n">
        <v>6000000</v>
      </c>
      <c r="J18" s="61" t="n"/>
      <c r="K18" s="61">
        <f>I18-J18</f>
        <v/>
      </c>
      <c r="L18" s="62" t="n"/>
      <c r="M18" s="56" t="n"/>
      <c r="N18" s="60" t="n"/>
      <c r="O18" s="63" t="n"/>
      <c r="P18" s="56" t="n"/>
      <c r="Q18" s="61" t="n">
        <v>2031618</v>
      </c>
      <c r="R18" s="61" t="n">
        <v>1921843</v>
      </c>
      <c r="S18" s="61">
        <f>+Q18-R18</f>
        <v/>
      </c>
      <c r="T18" s="61" t="n"/>
      <c r="U18" s="61">
        <f>+S18-T18</f>
        <v/>
      </c>
      <c r="V18" s="61" t="n"/>
      <c r="W18" s="56" t="inlineStr">
        <is>
          <t>VT OH 100 LLC</t>
        </is>
      </c>
      <c r="X18" s="56" t="n"/>
    </row>
    <row r="19" ht="39.75" customHeight="1" s="39">
      <c r="A19" s="56" t="inlineStr">
        <is>
          <t>712-826 Glendale Ave Glendale CA 91206</t>
        </is>
      </c>
      <c r="B19" s="56" t="inlineStr">
        <is>
          <t>Mixed Use</t>
        </is>
      </c>
      <c r="C19" s="58" t="n">
        <v>51798</v>
      </c>
      <c r="D19" s="72" t="n">
        <v>31</v>
      </c>
      <c r="E19" s="59" t="n">
        <v>100</v>
      </c>
      <c r="F19" s="60" t="n">
        <v>46006</v>
      </c>
      <c r="G19" s="61" t="n">
        <v>24750000</v>
      </c>
      <c r="H19" s="62">
        <f>+S19/G19</f>
        <v/>
      </c>
      <c r="I19" s="61" t="n">
        <v>40000000</v>
      </c>
      <c r="J19" s="61" t="n">
        <v>19532509</v>
      </c>
      <c r="K19" s="61">
        <f>I19-J19</f>
        <v/>
      </c>
      <c r="L19" s="62" t="n"/>
      <c r="M19" s="56" t="n"/>
      <c r="N19" s="60" t="n"/>
      <c r="O19" s="63" t="n"/>
      <c r="P19" s="56" t="n"/>
      <c r="Q19" s="61" t="n">
        <v>1000000</v>
      </c>
      <c r="R19" s="61" t="n">
        <v>573600</v>
      </c>
      <c r="S19" s="61">
        <f>+Q19-R19</f>
        <v/>
      </c>
      <c r="T19" s="61" t="n"/>
      <c r="U19" s="61">
        <f>+S19-T19</f>
        <v/>
      </c>
      <c r="V19" s="61" t="n"/>
      <c r="W19" s="56" t="inlineStr">
        <is>
          <t>VT 826 LLC</t>
        </is>
      </c>
      <c r="X19" s="56" t="n"/>
    </row>
    <row r="20" ht="39.75" customHeight="1" s="39">
      <c r="A20" s="56" t="inlineStr">
        <is>
          <t>2709 Ave 34 Los Angeles CA 90065</t>
        </is>
      </c>
      <c r="B20" s="56" t="inlineStr">
        <is>
          <t>Mixed Use</t>
        </is>
      </c>
      <c r="C20" s="58" t="n">
        <v>5715</v>
      </c>
      <c r="D20" s="72" t="n">
        <v>4</v>
      </c>
      <c r="E20" s="59" t="n">
        <v>72.40000000000001</v>
      </c>
      <c r="F20" s="60" t="n">
        <v>46073</v>
      </c>
      <c r="G20" s="61" t="n">
        <v>800000</v>
      </c>
      <c r="H20" s="62">
        <f>+S20/G20</f>
        <v/>
      </c>
      <c r="I20" s="61" t="n">
        <v>1100000</v>
      </c>
      <c r="J20" s="61" t="n"/>
      <c r="K20" s="61">
        <f>I20-J20</f>
        <v/>
      </c>
      <c r="L20" s="62" t="n"/>
      <c r="M20" s="56" t="n"/>
      <c r="N20" s="60" t="n"/>
      <c r="O20" s="63" t="n"/>
      <c r="P20" s="56" t="n"/>
      <c r="Q20" s="61">
        <f>10540*12</f>
        <v/>
      </c>
      <c r="R20" s="61" t="n">
        <v>17000</v>
      </c>
      <c r="S20" s="61">
        <f>+Q20-R20</f>
        <v/>
      </c>
      <c r="T20" s="61" t="n"/>
      <c r="U20" s="61">
        <f>+S20-T20</f>
        <v/>
      </c>
      <c r="V20" s="61" t="n"/>
      <c r="W20" s="56" t="inlineStr">
        <is>
          <t>VT 2709 LLC</t>
        </is>
      </c>
      <c r="X20" s="56" t="n"/>
    </row>
    <row r="21" ht="39.75" customHeight="1" s="39">
      <c r="A21" s="56" t="inlineStr">
        <is>
          <t>2705 Ave 34 Los Angeles CA 90065</t>
        </is>
      </c>
      <c r="B21" s="56" t="inlineStr">
        <is>
          <t>Commercial</t>
        </is>
      </c>
      <c r="C21" s="58" t="n">
        <v>2200</v>
      </c>
      <c r="D21" s="72" t="n">
        <v>1</v>
      </c>
      <c r="E21" s="59" t="n">
        <v>72.40000000000001</v>
      </c>
      <c r="F21" s="60" t="n">
        <v>46073</v>
      </c>
      <c r="G21" s="61" t="n">
        <v>1375000</v>
      </c>
      <c r="H21" s="62">
        <f>+S21/G21</f>
        <v/>
      </c>
      <c r="I21" s="61" t="n">
        <v>1300000</v>
      </c>
      <c r="J21" s="61" t="n"/>
      <c r="K21" s="61">
        <f>I21-J21</f>
        <v/>
      </c>
      <c r="L21" s="62" t="n"/>
      <c r="M21" s="56" t="n"/>
      <c r="N21" s="60" t="n"/>
      <c r="O21" s="63" t="n"/>
      <c r="P21" s="56" t="n"/>
      <c r="Q21" s="61">
        <f>4500*12</f>
        <v/>
      </c>
      <c r="R21" s="61" t="n">
        <v>25000</v>
      </c>
      <c r="S21" s="61">
        <f>+Q21-R21</f>
        <v/>
      </c>
      <c r="T21" s="61" t="n"/>
      <c r="U21" s="61">
        <f>+S21-T21</f>
        <v/>
      </c>
      <c r="V21" s="61" t="n"/>
      <c r="W21" s="56" t="inlineStr">
        <is>
          <t>VT 2705 LLC</t>
        </is>
      </c>
      <c r="X21" s="56" t="n"/>
    </row>
    <row r="22" ht="39.75" customHeight="1" s="39">
      <c r="A22" s="56" t="inlineStr">
        <is>
          <t>2100 Cypress Ave Los Angeles CA 90065</t>
        </is>
      </c>
      <c r="B22" s="56" t="inlineStr">
        <is>
          <t>Bar</t>
        </is>
      </c>
      <c r="C22" s="58" t="n">
        <v>3800</v>
      </c>
      <c r="D22" s="72" t="n"/>
      <c r="E22" s="59" t="n">
        <v>70</v>
      </c>
      <c r="F22" s="60" t="n">
        <v>46219</v>
      </c>
      <c r="G22" s="61" t="n">
        <v>2500000</v>
      </c>
      <c r="H22" s="62">
        <f>+S22/G22</f>
        <v/>
      </c>
      <c r="I22" s="61" t="n">
        <v>2500000</v>
      </c>
      <c r="J22" s="61" t="n"/>
      <c r="K22" s="61">
        <f>I22-J22</f>
        <v/>
      </c>
      <c r="L22" s="62" t="n"/>
      <c r="M22" s="56" t="n"/>
      <c r="N22" s="60" t="n"/>
      <c r="O22" s="63" t="n"/>
      <c r="P22" s="56" t="n"/>
      <c r="Q22" s="61">
        <f>19000*12</f>
        <v/>
      </c>
      <c r="R22" s="61" t="n"/>
      <c r="S22" s="61">
        <f>+Q22-R22</f>
        <v/>
      </c>
      <c r="T22" s="61" t="n"/>
      <c r="U22" s="61">
        <f>+S22-T22</f>
        <v/>
      </c>
      <c r="V22" s="61" t="n"/>
      <c r="W22" s="56" t="inlineStr">
        <is>
          <t>VT 2100 LLC</t>
        </is>
      </c>
      <c r="X22" s="56" t="n"/>
    </row>
    <row r="23" ht="39.75" customHeight="1" s="39">
      <c r="A23" s="64" t="inlineStr">
        <is>
          <t>Total:</t>
        </is>
      </c>
      <c r="B23" s="64" t="n"/>
      <c r="C23" s="66">
        <f>SUM(C13:C22)</f>
        <v/>
      </c>
      <c r="D23" s="64" t="n"/>
      <c r="E23" s="67" t="n"/>
      <c r="F23" s="68" t="n"/>
      <c r="G23" s="69">
        <f>SUM(G13:G22)</f>
        <v/>
      </c>
      <c r="H23" s="70" t="n"/>
      <c r="I23" s="69">
        <f>SUM(I13:I22)</f>
        <v/>
      </c>
      <c r="J23" s="69">
        <f>SUM(J13:J22)</f>
        <v/>
      </c>
      <c r="K23" s="69">
        <f>SUM(K13:K22)</f>
        <v/>
      </c>
      <c r="L23" s="70" t="n"/>
      <c r="M23" s="64" t="n"/>
      <c r="N23" s="68" t="n"/>
      <c r="O23" s="71" t="n"/>
      <c r="P23" s="64" t="n"/>
      <c r="Q23" s="69">
        <f>SUM(Q13:Q22)</f>
        <v/>
      </c>
      <c r="R23" s="69">
        <f>SUM(R13:R22)</f>
        <v/>
      </c>
      <c r="S23" s="69">
        <f>SUM(S13:S22)</f>
        <v/>
      </c>
      <c r="T23" s="69">
        <f>SUM(T13:T22)</f>
        <v/>
      </c>
      <c r="U23" s="69">
        <f>SUM(U13:U22)</f>
        <v/>
      </c>
      <c r="V23" s="69">
        <f>SUM(V13:V22)</f>
        <v/>
      </c>
      <c r="W23" s="64" t="n"/>
      <c r="X23" s="64" t="n"/>
    </row>
    <row r="24" ht="15" customHeight="1" s="39">
      <c r="A24" s="73" t="inlineStr">
        <is>
          <t>Personal Residence (not included in commercial total above)</t>
        </is>
      </c>
    </row>
    <row r="25" ht="15" customHeight="1" s="39">
      <c r="A25" s="56" t="inlineStr">
        <is>
          <t>375 Canyon Vista Dr, LA CA 90065</t>
        </is>
      </c>
      <c r="B25" s="56" t="inlineStr">
        <is>
          <t>Residential</t>
        </is>
      </c>
      <c r="C25" s="56" t="n">
        <v>3800</v>
      </c>
      <c r="D25" s="56" t="n">
        <v>1</v>
      </c>
      <c r="E25" s="59" t="n">
        <v>100</v>
      </c>
      <c r="F25" s="60" t="n">
        <v>43829</v>
      </c>
      <c r="G25" s="61" t="n">
        <v>3100000</v>
      </c>
      <c r="H25" s="62" t="n"/>
      <c r="I25" s="61" t="n">
        <v>4000000</v>
      </c>
      <c r="J25" s="61" t="n">
        <v>884822</v>
      </c>
      <c r="K25" s="61">
        <f>I25-J25</f>
        <v/>
      </c>
      <c r="L25" s="62">
        <f>J25/I25</f>
        <v/>
      </c>
      <c r="M25" s="56" t="inlineStr">
        <is>
          <t>Wells Fargo</t>
        </is>
      </c>
      <c r="N25" s="60" t="n">
        <v>46751</v>
      </c>
      <c r="O25" s="63" t="n">
        <v>0.025</v>
      </c>
      <c r="P25" s="56" t="inlineStr">
        <is>
          <t>YES</t>
        </is>
      </c>
      <c r="Q25" s="61" t="n"/>
      <c r="R25" s="61" t="n"/>
      <c r="S25" s="61" t="n"/>
      <c r="T25" s="61" t="n">
        <v>49311</v>
      </c>
      <c r="U25" s="61" t="n"/>
      <c r="V25" s="61" t="n">
        <v>1800000</v>
      </c>
      <c r="W25" s="56" t="inlineStr">
        <is>
          <t>Vartan Tchekmedyian</t>
        </is>
      </c>
      <c r="X25" s="56" t="inlineStr">
        <is>
          <t>Primary residence</t>
        </is>
      </c>
    </row>
  </sheetData>
  <mergeCells count="5">
    <mergeCell ref="A24:X24"/>
    <mergeCell ref="J3:P3"/>
    <mergeCell ref="A3:I3"/>
    <mergeCell ref="Q3:W3"/>
    <mergeCell ref="A1:X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25" zoomScaleNormal="125" zoomScalePageLayoutView="100" workbookViewId="0">
      <pane xSplit="0" ySplit="2" topLeftCell="A3" activePane="bottomLeft" state="frozen"/>
      <selection pane="topLeft" activeCell="A1" activeCellId="0" sqref="A1"/>
      <selection pane="bottomLeft" activeCell="D41" activeCellId="0" sqref="D41"/>
    </sheetView>
  </sheetViews>
  <sheetFormatPr baseColWidth="8" defaultColWidth="8.66796875" defaultRowHeight="15" zeroHeight="0" outlineLevelRow="0"/>
  <cols>
    <col width="16" customWidth="1" style="38" min="1" max="1"/>
    <col width="30" customWidth="1" style="38" min="2" max="2"/>
    <col width="14" customWidth="1" style="38" min="3" max="4"/>
    <col width="16" customWidth="1" style="38" min="5" max="5"/>
    <col width="8" customWidth="1" style="38" min="6" max="6"/>
  </cols>
  <sheetData>
    <row r="1" ht="19.5" customHeight="1" s="39">
      <c r="A1" s="40" t="inlineStr">
        <is>
          <t>Schedule D: Businesses Owned</t>
        </is>
      </c>
    </row>
    <row r="2" ht="15" customHeight="1" s="39">
      <c r="A2" s="46" t="inlineStr">
        <is>
          <t>Category</t>
        </is>
      </c>
      <c r="B2" s="46" t="inlineStr">
        <is>
          <t>Name</t>
        </is>
      </c>
      <c r="C2" s="46" t="inlineStr">
        <is>
          <t>No. Shares</t>
        </is>
      </c>
      <c r="D2" s="46" t="inlineStr">
        <is>
          <t>Cost / Share</t>
        </is>
      </c>
      <c r="E2" s="46" t="inlineStr">
        <is>
          <t>Total Cost</t>
        </is>
      </c>
      <c r="F2" s="46" t="inlineStr">
        <is>
          <t>S/J/T</t>
        </is>
      </c>
    </row>
    <row r="3" ht="15" customHeight="1" s="39">
      <c r="A3" s="45" t="inlineStr">
        <is>
          <t>C Corp</t>
        </is>
      </c>
      <c r="B3" s="45" t="inlineStr">
        <is>
          <t>Zamp Technologies</t>
        </is>
      </c>
      <c r="C3" s="45" t="n">
        <v>250000</v>
      </c>
      <c r="D3" s="48" t="n">
        <v>1</v>
      </c>
      <c r="E3" s="54">
        <f>C3*D3</f>
        <v/>
      </c>
      <c r="F3" s="45" t="inlineStr">
        <is>
          <t>S</t>
        </is>
      </c>
    </row>
    <row r="4" ht="15" customHeight="1" s="39">
      <c r="A4" s="45" t="inlineStr">
        <is>
          <t>C Corp</t>
        </is>
      </c>
      <c r="B4" s="45" t="inlineStr">
        <is>
          <t>Ceartas</t>
        </is>
      </c>
      <c r="C4" s="45" t="n">
        <v>750000</v>
      </c>
      <c r="D4" s="48" t="n">
        <v>1</v>
      </c>
      <c r="E4" s="54">
        <f>C4*D4</f>
        <v/>
      </c>
      <c r="F4" s="45" t="inlineStr">
        <is>
          <t>S</t>
        </is>
      </c>
    </row>
    <row r="5" ht="15" customHeight="1" s="39">
      <c r="A5" s="45" t="inlineStr">
        <is>
          <t>LLC</t>
        </is>
      </c>
      <c r="B5" s="45" t="inlineStr">
        <is>
          <t>Buckyball Intermediate</t>
        </is>
      </c>
      <c r="C5" s="45" t="n">
        <v>12359472</v>
      </c>
      <c r="D5" s="48">
        <f>15136532/C5</f>
        <v/>
      </c>
      <c r="E5" s="54">
        <f>C5*D5</f>
        <v/>
      </c>
      <c r="F5" s="45" t="inlineStr">
        <is>
          <t>S</t>
        </is>
      </c>
    </row>
    <row r="6" ht="15" customHeight="1" s="39">
      <c r="A6" s="45" t="n"/>
      <c r="B6" s="45" t="n"/>
      <c r="C6" s="45" t="n"/>
      <c r="D6" s="48" t="n"/>
      <c r="E6" s="54">
        <f>C6*D6</f>
        <v/>
      </c>
      <c r="F6" s="45" t="n"/>
    </row>
    <row r="7" ht="15" customHeight="1" s="39">
      <c r="A7" s="45" t="n"/>
      <c r="B7" s="45" t="n"/>
      <c r="C7" s="45" t="n"/>
      <c r="D7" s="48" t="n"/>
      <c r="E7" s="54">
        <f>C7*D7</f>
        <v/>
      </c>
      <c r="F7" s="45" t="n"/>
    </row>
    <row r="8" ht="15" customHeight="1" s="39">
      <c r="A8" s="45" t="n"/>
      <c r="B8" s="45" t="n"/>
      <c r="C8" s="45" t="n"/>
      <c r="D8" s="48" t="n"/>
      <c r="E8" s="54">
        <f>C8*D8</f>
        <v/>
      </c>
      <c r="F8" s="45" t="n"/>
    </row>
    <row r="9" ht="15" customHeight="1" s="39">
      <c r="A9" s="45" t="n"/>
      <c r="B9" s="45" t="n"/>
      <c r="C9" s="45" t="n"/>
      <c r="D9" s="48" t="n"/>
      <c r="E9" s="54">
        <f>C9*D9</f>
        <v/>
      </c>
      <c r="F9" s="45" t="n"/>
    </row>
    <row r="10" ht="15" customHeight="1" s="39">
      <c r="A10" s="45" t="n"/>
      <c r="B10" s="45" t="n"/>
      <c r="C10" s="45" t="n"/>
      <c r="D10" s="48" t="n"/>
      <c r="E10" s="54">
        <f>C10*D10</f>
        <v/>
      </c>
      <c r="F10" s="45" t="n"/>
    </row>
    <row r="11" ht="15" customHeight="1" s="39">
      <c r="A11" s="45" t="n"/>
      <c r="B11" s="45" t="n"/>
      <c r="C11" s="45" t="n"/>
      <c r="D11" s="48" t="n"/>
      <c r="E11" s="54">
        <f>C11*D11</f>
        <v/>
      </c>
      <c r="F11" s="45" t="n"/>
    </row>
    <row r="12" ht="15" customHeight="1" s="39">
      <c r="A12" s="45" t="n"/>
      <c r="B12" s="45" t="n"/>
      <c r="C12" s="45" t="n"/>
      <c r="D12" s="48" t="n"/>
      <c r="E12" s="54">
        <f>C12*D12</f>
        <v/>
      </c>
      <c r="F12" s="45" t="n"/>
    </row>
    <row r="13" ht="15" customHeight="1" s="39">
      <c r="A13" s="45" t="n"/>
      <c r="B13" s="45" t="n"/>
      <c r="C13" s="45" t="n"/>
      <c r="D13" s="48" t="n"/>
      <c r="E13" s="54">
        <f>C13*D13</f>
        <v/>
      </c>
      <c r="F13" s="45" t="n"/>
    </row>
    <row r="14" ht="15" customHeight="1" s="39">
      <c r="A14" s="45" t="n"/>
      <c r="B14" s="45" t="n"/>
      <c r="C14" s="45" t="n"/>
      <c r="D14" s="48" t="n"/>
      <c r="E14" s="54">
        <f>C14*D14</f>
        <v/>
      </c>
      <c r="F14" s="45" t="n"/>
    </row>
    <row r="15" ht="15" customHeight="1" s="39">
      <c r="A15" s="45" t="n"/>
      <c r="B15" s="45" t="n"/>
      <c r="C15" s="45" t="n"/>
      <c r="D15" s="48" t="n"/>
      <c r="E15" s="54">
        <f>C15*D15</f>
        <v/>
      </c>
      <c r="F15" s="45" t="n"/>
    </row>
    <row r="16" ht="15" customHeight="1" s="39">
      <c r="A16" s="45" t="n"/>
      <c r="B16" s="45" t="n"/>
      <c r="C16" s="45" t="n"/>
      <c r="D16" s="48" t="n"/>
      <c r="E16" s="54">
        <f>C16*D16</f>
        <v/>
      </c>
      <c r="F16" s="45" t="n"/>
    </row>
    <row r="17" ht="15" customHeight="1" s="39">
      <c r="A17" s="45" t="n"/>
      <c r="B17" s="45" t="n"/>
      <c r="C17" s="45" t="n"/>
      <c r="D17" s="48" t="n"/>
      <c r="E17" s="54">
        <f>C17*D17</f>
        <v/>
      </c>
      <c r="F17" s="45" t="n"/>
    </row>
    <row r="18" ht="15" customHeight="1" s="39">
      <c r="D18" s="41" t="inlineStr">
        <is>
          <t>Total</t>
        </is>
      </c>
      <c r="E18" s="51">
        <f>SUM(E3:E17)</f>
        <v/>
      </c>
    </row>
  </sheetData>
  <mergeCells count="1">
    <mergeCell ref="A1:F1"/>
  </mergeCells>
  <dataValidations count="2">
    <dataValidation sqref="A3:A17" showDropDown="0" showInputMessage="0" showErrorMessage="0" allowBlank="1" type="list" errorStyle="stop" operator="between">
      <formula1>"C Corp,S Corp,LLC,Partnership,Closely Held"</formula1>
      <formula2>0</formula2>
    </dataValidation>
    <dataValidation sqref="F3:F17" showDropDown="0" showInputMessage="0" showErrorMessage="0" allowBlank="1" type="list" errorStyle="stop" operator="between">
      <formula1>"S,J,T"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1" showRowColHeaders="1" showZeros="1" rightToLeft="0" tabSelected="0" showOutlineSymbols="1" defaultGridColor="1" view="normal" topLeftCell="A1" colorId="64" zoomScale="150" zoomScaleNormal="150" zoomScalePageLayoutView="100" workbookViewId="0">
      <pane xSplit="0" ySplit="2" topLeftCell="A3" activePane="bottomLeft" state="frozen"/>
      <selection pane="topLeft" activeCell="A1" activeCellId="0" sqref="A1"/>
      <selection pane="bottomLeft" activeCell="E21" activeCellId="0" sqref="E21"/>
    </sheetView>
  </sheetViews>
  <sheetFormatPr baseColWidth="8" defaultColWidth="8.66796875" defaultRowHeight="15" zeroHeight="0" outlineLevelRow="0"/>
  <cols>
    <col width="14" customWidth="1" style="38" min="1" max="1"/>
    <col width="20" customWidth="1" style="38" min="2" max="2"/>
    <col width="13" customWidth="1" style="38" min="3" max="3"/>
    <col width="12" customWidth="1" style="38" min="4" max="4"/>
    <col width="22" customWidth="1" style="38" min="5" max="5"/>
    <col width="15" customWidth="1" style="38" min="6" max="6"/>
    <col width="18" customWidth="1" style="38" min="7" max="7"/>
    <col width="14" customWidth="1" style="38" min="8" max="8"/>
    <col width="8" customWidth="1" style="38" min="9" max="9"/>
  </cols>
  <sheetData>
    <row r="1" ht="19.5" customHeight="1" s="39">
      <c r="A1" s="40" t="inlineStr">
        <is>
          <t>Schedule E: Contracts / Accounts / Notes Receivable</t>
        </is>
      </c>
    </row>
    <row r="2" ht="15" customHeight="1" s="39">
      <c r="A2" s="46" t="inlineStr">
        <is>
          <t>Type</t>
        </is>
      </c>
      <c r="B2" s="46" t="inlineStr">
        <is>
          <t>Owner(s)</t>
        </is>
      </c>
      <c r="C2" s="46" t="inlineStr">
        <is>
          <t>Pmt Amount</t>
        </is>
      </c>
      <c r="D2" s="46" t="inlineStr">
        <is>
          <t>Frequency</t>
        </is>
      </c>
      <c r="E2" s="46" t="inlineStr">
        <is>
          <t>Due From</t>
        </is>
      </c>
      <c r="F2" s="46" t="inlineStr">
        <is>
          <t>Balance Due</t>
        </is>
      </c>
      <c r="G2" s="46" t="inlineStr">
        <is>
          <t>Collateral</t>
        </is>
      </c>
      <c r="H2" s="46" t="inlineStr">
        <is>
          <t>Maturity Date</t>
        </is>
      </c>
      <c r="I2" s="46" t="inlineStr">
        <is>
          <t>S/J/T</t>
        </is>
      </c>
    </row>
    <row r="3" ht="15" customHeight="1" s="39">
      <c r="A3" s="45" t="inlineStr">
        <is>
          <t>A/R</t>
        </is>
      </c>
      <c r="B3" s="45" t="inlineStr">
        <is>
          <t>Vartan Tchekmedyian</t>
        </is>
      </c>
      <c r="C3" s="48">
        <f>0.085*F3</f>
        <v/>
      </c>
      <c r="D3" s="45" t="inlineStr">
        <is>
          <t>Monthly</t>
        </is>
      </c>
      <c r="E3" s="45" t="inlineStr">
        <is>
          <t>Revenge Of Inc.</t>
        </is>
      </c>
      <c r="F3" s="48" t="n">
        <v>509174.72</v>
      </c>
      <c r="G3" s="45" t="inlineStr">
        <is>
          <t>3420 Eagle Rock Blvd</t>
        </is>
      </c>
      <c r="H3" s="74" t="n">
        <v>46387</v>
      </c>
      <c r="I3" s="45" t="inlineStr">
        <is>
          <t>S</t>
        </is>
      </c>
    </row>
    <row r="4" ht="15" customHeight="1" s="39">
      <c r="A4" s="45" t="n"/>
      <c r="B4" s="45" t="n"/>
      <c r="C4" s="48" t="n"/>
      <c r="D4" s="45" t="n"/>
      <c r="E4" s="45" t="n"/>
      <c r="F4" s="48" t="n"/>
      <c r="G4" s="45" t="n"/>
      <c r="H4" s="45" t="n"/>
      <c r="I4" s="45" t="n"/>
    </row>
    <row r="5" ht="15" customHeight="1" s="39">
      <c r="A5" s="45" t="n"/>
      <c r="B5" s="45" t="n"/>
      <c r="C5" s="48" t="n"/>
      <c r="D5" s="45" t="n"/>
      <c r="E5" s="45" t="n"/>
      <c r="F5" s="48" t="n"/>
      <c r="G5" s="45" t="n"/>
      <c r="H5" s="45" t="n"/>
      <c r="I5" s="45" t="n"/>
    </row>
    <row r="6" ht="15" customHeight="1" s="39">
      <c r="A6" s="45" t="n"/>
      <c r="B6" s="45" t="n"/>
      <c r="C6" s="48" t="n"/>
      <c r="D6" s="45" t="n"/>
      <c r="E6" s="45" t="n"/>
      <c r="F6" s="48" t="n"/>
      <c r="G6" s="45" t="n"/>
      <c r="H6" s="45" t="n"/>
      <c r="I6" s="45" t="n"/>
    </row>
    <row r="7" ht="15" customHeight="1" s="39">
      <c r="A7" s="45" t="n"/>
      <c r="B7" s="45" t="n"/>
      <c r="C7" s="48" t="n"/>
      <c r="D7" s="45" t="n"/>
      <c r="E7" s="45" t="n"/>
      <c r="F7" s="48" t="n"/>
      <c r="G7" s="45" t="n"/>
      <c r="H7" s="45" t="n"/>
      <c r="I7" s="45" t="n"/>
    </row>
    <row r="8" ht="15" customHeight="1" s="39">
      <c r="A8" s="45" t="n"/>
      <c r="B8" s="45" t="n"/>
      <c r="C8" s="48" t="n"/>
      <c r="D8" s="45" t="n"/>
      <c r="E8" s="45" t="n"/>
      <c r="F8" s="48" t="n"/>
      <c r="G8" s="45" t="n"/>
      <c r="H8" s="45" t="n"/>
      <c r="I8" s="45" t="n"/>
    </row>
    <row r="9" ht="15" customHeight="1" s="39">
      <c r="A9" s="45" t="n"/>
      <c r="B9" s="45" t="n"/>
      <c r="C9" s="48" t="n"/>
      <c r="D9" s="45" t="n"/>
      <c r="E9" s="45" t="n"/>
      <c r="F9" s="48" t="n"/>
      <c r="G9" s="45" t="n"/>
      <c r="H9" s="45" t="n"/>
      <c r="I9" s="45" t="n"/>
    </row>
    <row r="10" ht="15" customHeight="1" s="39">
      <c r="A10" s="45" t="n"/>
      <c r="B10" s="45" t="n"/>
      <c r="C10" s="48" t="n"/>
      <c r="D10" s="45" t="n"/>
      <c r="E10" s="45" t="n"/>
      <c r="F10" s="48" t="n"/>
      <c r="G10" s="45" t="n"/>
      <c r="H10" s="45" t="n"/>
      <c r="I10" s="45" t="n"/>
    </row>
    <row r="11" ht="15" customHeight="1" s="39">
      <c r="A11" s="45" t="n"/>
      <c r="B11" s="45" t="n"/>
      <c r="C11" s="48" t="n"/>
      <c r="D11" s="45" t="n"/>
      <c r="E11" s="45" t="n"/>
      <c r="F11" s="48" t="n"/>
      <c r="G11" s="45" t="n"/>
      <c r="H11" s="45" t="n"/>
      <c r="I11" s="45" t="n"/>
    </row>
    <row r="12" ht="15" customHeight="1" s="39">
      <c r="A12" s="45" t="n"/>
      <c r="B12" s="45" t="n"/>
      <c r="C12" s="48" t="n"/>
      <c r="D12" s="45" t="n"/>
      <c r="E12" s="45" t="n"/>
      <c r="F12" s="48" t="n"/>
      <c r="G12" s="45" t="n"/>
      <c r="H12" s="45" t="n"/>
      <c r="I12" s="45" t="n"/>
    </row>
    <row r="13" ht="15" customHeight="1" s="39">
      <c r="A13" s="45" t="n"/>
      <c r="B13" s="45" t="n"/>
      <c r="C13" s="48" t="n"/>
      <c r="D13" s="45" t="n"/>
      <c r="E13" s="45" t="n"/>
      <c r="F13" s="48" t="n"/>
      <c r="G13" s="45" t="n"/>
      <c r="H13" s="45" t="n"/>
      <c r="I13" s="45" t="n"/>
    </row>
    <row r="14" ht="15" customHeight="1" s="39">
      <c r="A14" s="45" t="n"/>
      <c r="B14" s="45" t="n"/>
      <c r="C14" s="48" t="n"/>
      <c r="D14" s="45" t="n"/>
      <c r="E14" s="45" t="n"/>
      <c r="F14" s="48" t="n"/>
      <c r="G14" s="45" t="n"/>
      <c r="H14" s="45" t="n"/>
      <c r="I14" s="45" t="n"/>
    </row>
    <row r="15" ht="15" customHeight="1" s="39">
      <c r="E15" s="41" t="inlineStr">
        <is>
          <t>Total</t>
        </is>
      </c>
      <c r="F15" s="51">
        <f>SUM(F3:F14)</f>
        <v/>
      </c>
    </row>
  </sheetData>
  <mergeCells count="1">
    <mergeCell ref="A1:I1"/>
  </mergeCells>
  <dataValidations count="2">
    <dataValidation sqref="A3:A14" showDropDown="0" showInputMessage="0" showErrorMessage="0" allowBlank="1" type="list" errorStyle="stop" operator="between">
      <formula1>"A/R,A/R Related"</formula1>
      <formula2>0</formula2>
    </dataValidation>
    <dataValidation sqref="I3:I14" showDropDown="0" showInputMessage="0" showErrorMessage="0" allowBlank="1" type="list" errorStyle="stop" operator="between">
      <formula1>"S,J,T"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1" showRowColHeaders="1" showZeros="1" rightToLeft="0" tabSelected="0" showOutlineSymbols="1" defaultGridColor="1" view="normal" topLeftCell="A1" colorId="64" zoomScale="115" zoomScaleNormal="115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6796875" defaultRowHeight="15" zeroHeight="0" outlineLevelRow="0"/>
  <cols>
    <col width="16" customWidth="1" style="38" min="1" max="1"/>
    <col width="30" customWidth="1" style="38" min="2" max="2"/>
    <col width="24" customWidth="1" style="38" min="3" max="3"/>
    <col width="14" customWidth="1" style="38" min="4" max="4"/>
    <col width="16" customWidth="1" style="38" min="5" max="5"/>
    <col width="8" customWidth="1" style="38" min="6" max="6"/>
  </cols>
  <sheetData>
    <row r="1" ht="19.5" customHeight="1" s="39">
      <c r="A1" s="40" t="inlineStr">
        <is>
          <t>Schedule F: Other Assets and Personal Property</t>
        </is>
      </c>
    </row>
    <row r="2" ht="15" customHeight="1" s="39">
      <c r="A2" s="46" t="inlineStr">
        <is>
          <t>Category</t>
        </is>
      </c>
      <c r="B2" s="46" t="inlineStr">
        <is>
          <t>Description</t>
        </is>
      </c>
      <c r="C2" s="46" t="inlineStr">
        <is>
          <t>Notes</t>
        </is>
      </c>
      <c r="D2" s="46" t="inlineStr">
        <is>
          <t>Cost</t>
        </is>
      </c>
      <c r="E2" s="46" t="inlineStr">
        <is>
          <t>Current Value</t>
        </is>
      </c>
      <c r="F2" s="46" t="inlineStr">
        <is>
          <t>S/J/T</t>
        </is>
      </c>
    </row>
    <row r="3" ht="15" customHeight="1" s="39">
      <c r="A3" s="45" t="n"/>
      <c r="B3" s="45" t="n"/>
      <c r="C3" s="45" t="n"/>
      <c r="D3" s="48" t="n"/>
      <c r="E3" s="48" t="n"/>
      <c r="F3" s="45" t="n"/>
    </row>
    <row r="4" ht="15" customHeight="1" s="39">
      <c r="A4" s="45" t="n"/>
      <c r="B4" s="45" t="n"/>
      <c r="C4" s="45" t="n"/>
      <c r="D4" s="48" t="n"/>
      <c r="E4" s="48" t="n"/>
      <c r="F4" s="45" t="n"/>
    </row>
    <row r="5" ht="15" customHeight="1" s="39">
      <c r="A5" s="45" t="n"/>
      <c r="B5" s="45" t="n"/>
      <c r="C5" s="45" t="n"/>
      <c r="D5" s="48" t="n"/>
      <c r="E5" s="48" t="n"/>
      <c r="F5" s="45" t="n"/>
    </row>
    <row r="6" ht="15" customHeight="1" s="39">
      <c r="A6" s="45" t="n"/>
      <c r="B6" s="45" t="n"/>
      <c r="C6" s="45" t="n"/>
      <c r="D6" s="48" t="n"/>
      <c r="E6" s="48" t="n"/>
      <c r="F6" s="45" t="n"/>
    </row>
    <row r="7" ht="15" customHeight="1" s="39">
      <c r="A7" s="45" t="n"/>
      <c r="B7" s="45" t="n"/>
      <c r="C7" s="45" t="n"/>
      <c r="D7" s="48" t="n"/>
      <c r="E7" s="48" t="n"/>
      <c r="F7" s="45" t="n"/>
    </row>
    <row r="8" ht="15" customHeight="1" s="39">
      <c r="A8" s="45" t="n"/>
      <c r="B8" s="45" t="n"/>
      <c r="C8" s="45" t="n"/>
      <c r="D8" s="48" t="n"/>
      <c r="E8" s="48" t="n"/>
      <c r="F8" s="45" t="n"/>
    </row>
    <row r="9" ht="15" customHeight="1" s="39">
      <c r="A9" s="45" t="n"/>
      <c r="B9" s="45" t="n"/>
      <c r="C9" s="45" t="n"/>
      <c r="D9" s="48" t="n"/>
      <c r="E9" s="48" t="n"/>
      <c r="F9" s="45" t="n"/>
    </row>
    <row r="10" ht="15" customHeight="1" s="39">
      <c r="A10" s="45" t="n"/>
      <c r="B10" s="45" t="n"/>
      <c r="C10" s="45" t="n"/>
      <c r="D10" s="48" t="n"/>
      <c r="E10" s="48" t="n"/>
      <c r="F10" s="45" t="n"/>
    </row>
    <row r="11" ht="15" customHeight="1" s="39">
      <c r="A11" s="45" t="n"/>
      <c r="B11" s="45" t="n"/>
      <c r="C11" s="45" t="n"/>
      <c r="D11" s="48" t="n"/>
      <c r="E11" s="48" t="n"/>
      <c r="F11" s="45" t="n"/>
    </row>
    <row r="12" ht="15" customHeight="1" s="39">
      <c r="A12" s="45" t="n"/>
      <c r="B12" s="45" t="n"/>
      <c r="C12" s="45" t="n"/>
      <c r="D12" s="48" t="n"/>
      <c r="E12" s="48" t="n"/>
      <c r="F12" s="45" t="n"/>
    </row>
    <row r="13" ht="15" customHeight="1" s="39">
      <c r="A13" s="45" t="n"/>
      <c r="B13" s="45" t="n"/>
      <c r="C13" s="45" t="n"/>
      <c r="D13" s="48" t="n"/>
      <c r="E13" s="48" t="n"/>
      <c r="F13" s="45" t="n"/>
    </row>
    <row r="14" ht="15" customHeight="1" s="39">
      <c r="A14" s="45" t="n"/>
      <c r="B14" s="45" t="n"/>
      <c r="C14" s="45" t="n"/>
      <c r="D14" s="48" t="n"/>
      <c r="E14" s="48" t="n"/>
      <c r="F14" s="45" t="n"/>
    </row>
    <row r="15" ht="15" customHeight="1" s="39">
      <c r="D15" s="41" t="inlineStr">
        <is>
          <t>Total</t>
        </is>
      </c>
      <c r="E15" s="51">
        <f>SUM(E3:E14)</f>
        <v/>
      </c>
    </row>
  </sheetData>
  <mergeCells count="1">
    <mergeCell ref="A1:F1"/>
  </mergeCells>
  <dataValidations count="2">
    <dataValidation sqref="A3:A14" showDropDown="0" showInputMessage="0" showErrorMessage="0" allowBlank="1" type="list" errorStyle="stop" operator="between">
      <formula1>"Life Insurance,Retirement,Personal,Other"</formula1>
      <formula2>0</formula2>
    </dataValidation>
    <dataValidation sqref="F3:F14" showDropDown="0" showInputMessage="0" showErrorMessage="0" allowBlank="1" type="list" errorStyle="stop" operator="between">
      <formula1>"S,J,T"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31"/>
  <sheetViews>
    <sheetView showFormulas="0" showGridLines="1" showRowColHeaders="1" showZeros="1" rightToLeft="0" tabSelected="0" showOutlineSymbols="1" defaultGridColor="1" view="normal" topLeftCell="A1" colorId="64" zoomScale="115" zoomScaleNormal="115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6796875" defaultRowHeight="15" zeroHeight="0" outlineLevelRow="0"/>
  <cols>
    <col width="13" customWidth="1" style="38" min="1" max="1"/>
    <col width="20" customWidth="1" style="38" min="2" max="2"/>
    <col width="13" customWidth="1" style="38" min="3" max="3"/>
    <col width="12" customWidth="1" style="38" min="4" max="4"/>
    <col width="22" customWidth="1" style="38" min="5" max="5"/>
    <col width="15" customWidth="1" style="38" min="6" max="6"/>
    <col width="14" customWidth="1" style="38" min="7" max="7"/>
    <col width="18" customWidth="1" style="38" min="8" max="8"/>
    <col width="14" customWidth="1" style="38" min="9" max="9"/>
    <col width="8" customWidth="1" style="38" min="10" max="10"/>
  </cols>
  <sheetData>
    <row r="1" ht="19.5" customHeight="1" s="39">
      <c r="A1" s="40" t="inlineStr">
        <is>
          <t>Schedule G: Revolving / LOC / Auto / Accounts Payable / Other</t>
        </is>
      </c>
    </row>
    <row r="2" ht="15" customHeight="1" s="39">
      <c r="A2" s="46" t="inlineStr">
        <is>
          <t>Type</t>
        </is>
      </c>
      <c r="B2" s="46" t="inlineStr">
        <is>
          <t>Owner(s)</t>
        </is>
      </c>
      <c r="C2" s="46" t="inlineStr">
        <is>
          <t>Pmt Amount</t>
        </is>
      </c>
      <c r="D2" s="46" t="inlineStr">
        <is>
          <t>Frequency</t>
        </is>
      </c>
      <c r="E2" s="46" t="inlineStr">
        <is>
          <t>Due To</t>
        </is>
      </c>
      <c r="F2" s="46" t="inlineStr">
        <is>
          <t>Balance Due</t>
        </is>
      </c>
      <c r="G2" s="46" t="inlineStr">
        <is>
          <t>Max Credit</t>
        </is>
      </c>
      <c r="H2" s="46" t="inlineStr">
        <is>
          <t>Collateral</t>
        </is>
      </c>
      <c r="I2" s="46" t="inlineStr">
        <is>
          <t>Maturity Date</t>
        </is>
      </c>
      <c r="J2" s="46" t="inlineStr">
        <is>
          <t>S/J/T</t>
        </is>
      </c>
    </row>
    <row r="3" ht="15" customHeight="1" s="39">
      <c r="A3" s="45" t="inlineStr">
        <is>
          <t>Revolv</t>
        </is>
      </c>
      <c r="B3" s="45" t="inlineStr">
        <is>
          <t>Vartan Tchekmedyian</t>
        </is>
      </c>
      <c r="C3" s="48" t="n"/>
      <c r="D3" s="45" t="inlineStr">
        <is>
          <t>Monthly</t>
        </is>
      </c>
      <c r="E3" s="45" t="inlineStr">
        <is>
          <t>Chase Sapphire (Personal)</t>
        </is>
      </c>
      <c r="F3" s="48" t="n">
        <v>952</v>
      </c>
      <c r="G3" s="48" t="n"/>
      <c r="H3" s="45" t="inlineStr">
        <is>
          <t>Unsecured</t>
        </is>
      </c>
      <c r="I3" s="45" t="n"/>
      <c r="J3" s="45" t="inlineStr">
        <is>
          <t>S</t>
        </is>
      </c>
    </row>
    <row r="4" ht="15" customHeight="1" s="39">
      <c r="A4" s="45" t="inlineStr">
        <is>
          <t>Revolv</t>
        </is>
      </c>
      <c r="B4" s="45" t="inlineStr">
        <is>
          <t>Vartan Tchekmedyian</t>
        </is>
      </c>
      <c r="C4" s="48" t="n"/>
      <c r="D4" s="45" t="inlineStr">
        <is>
          <t>Monthly</t>
        </is>
      </c>
      <c r="E4" s="45" t="inlineStr">
        <is>
          <t>American Express Platinum (...4002)</t>
        </is>
      </c>
      <c r="F4" s="48" t="n">
        <v>5819</v>
      </c>
      <c r="G4" s="48" t="n"/>
      <c r="H4" s="45" t="inlineStr">
        <is>
          <t>Unsecured</t>
        </is>
      </c>
      <c r="I4" s="45" t="n"/>
      <c r="J4" s="45" t="inlineStr">
        <is>
          <t>S</t>
        </is>
      </c>
    </row>
    <row r="5" ht="15" customHeight="1" s="39">
      <c r="A5" s="45" t="inlineStr">
        <is>
          <t>Revolv</t>
        </is>
      </c>
      <c r="B5" s="45" t="inlineStr">
        <is>
          <t>Vartan Tchekmedyian</t>
        </is>
      </c>
      <c r="C5" s="48" t="n"/>
      <c r="D5" s="45" t="inlineStr">
        <is>
          <t>Monthly</t>
        </is>
      </c>
      <c r="E5" s="45" t="inlineStr">
        <is>
          <t>American Express Business Platinum (...3004)</t>
        </is>
      </c>
      <c r="F5" s="48" t="n">
        <v>108725</v>
      </c>
      <c r="G5" s="48" t="n"/>
      <c r="H5" s="45" t="inlineStr">
        <is>
          <t>Unsecured</t>
        </is>
      </c>
      <c r="I5" s="45" t="n"/>
      <c r="J5" s="45" t="inlineStr">
        <is>
          <t>S</t>
        </is>
      </c>
    </row>
    <row r="6" ht="15" customHeight="1" s="39">
      <c r="A6" s="45" t="inlineStr">
        <is>
          <t>Revolv</t>
        </is>
      </c>
      <c r="B6" s="45" t="inlineStr">
        <is>
          <t>Vartan Tchekmedyian</t>
        </is>
      </c>
      <c r="C6" s="48" t="n"/>
      <c r="D6" s="45" t="inlineStr">
        <is>
          <t>Monthly</t>
        </is>
      </c>
      <c r="E6" s="45" t="inlineStr">
        <is>
          <t>American Express Business Centurion (...3006)</t>
        </is>
      </c>
      <c r="F6" s="48" t="n">
        <v>25743</v>
      </c>
      <c r="G6" s="48" t="n"/>
      <c r="H6" s="45" t="inlineStr">
        <is>
          <t>Unsecured</t>
        </is>
      </c>
      <c r="I6" s="45" t="n"/>
      <c r="J6" s="45" t="inlineStr">
        <is>
          <t>S</t>
        </is>
      </c>
    </row>
    <row r="7" ht="15" customHeight="1" s="39">
      <c r="A7" s="45" t="n"/>
      <c r="B7" s="45" t="n"/>
      <c r="C7" s="48" t="n"/>
      <c r="D7" s="45" t="n"/>
      <c r="E7" s="45" t="n"/>
      <c r="F7" s="48" t="n"/>
      <c r="G7" s="48" t="n"/>
      <c r="H7" s="45" t="n"/>
      <c r="I7" s="45" t="n"/>
      <c r="J7" s="45" t="n"/>
    </row>
    <row r="8" ht="15" customHeight="1" s="39">
      <c r="A8" s="45" t="n"/>
      <c r="B8" s="45" t="n"/>
      <c r="C8" s="48" t="n"/>
      <c r="D8" s="45" t="n"/>
      <c r="E8" s="45" t="n"/>
      <c r="F8" s="48" t="n"/>
      <c r="G8" s="48" t="n"/>
      <c r="H8" s="45" t="n"/>
      <c r="I8" s="45" t="n"/>
      <c r="J8" s="45" t="n"/>
    </row>
    <row r="9" ht="15" customHeight="1" s="39">
      <c r="A9" s="45" t="n"/>
      <c r="B9" s="45" t="n"/>
      <c r="C9" s="48" t="n"/>
      <c r="D9" s="45" t="n"/>
      <c r="E9" s="45" t="n"/>
      <c r="F9" s="48" t="n"/>
      <c r="G9" s="48" t="n"/>
      <c r="H9" s="45" t="n"/>
      <c r="I9" s="45" t="n"/>
      <c r="J9" s="45" t="n"/>
    </row>
    <row r="10" ht="15" customHeight="1" s="39">
      <c r="A10" s="45" t="n"/>
      <c r="B10" s="45" t="n"/>
      <c r="C10" s="48" t="n"/>
      <c r="D10" s="45" t="n"/>
      <c r="E10" s="45" t="n"/>
      <c r="F10" s="48" t="n"/>
      <c r="G10" s="48" t="n"/>
      <c r="H10" s="45" t="n"/>
      <c r="I10" s="45" t="n"/>
      <c r="J10" s="45" t="n"/>
    </row>
    <row r="11" ht="15" customHeight="1" s="39">
      <c r="A11" s="45" t="n"/>
      <c r="B11" s="45" t="n"/>
      <c r="C11" s="48" t="n"/>
      <c r="D11" s="45" t="n"/>
      <c r="E11" s="45" t="n"/>
      <c r="F11" s="48" t="n"/>
      <c r="G11" s="48" t="n"/>
      <c r="H11" s="45" t="n"/>
      <c r="I11" s="45" t="n"/>
      <c r="J11" s="45" t="n"/>
    </row>
    <row r="12" ht="15" customHeight="1" s="39">
      <c r="A12" s="45" t="n"/>
      <c r="B12" s="45" t="n"/>
      <c r="C12" s="48" t="n"/>
      <c r="D12" s="45" t="n"/>
      <c r="E12" s="45" t="n"/>
      <c r="F12" s="48" t="n"/>
      <c r="G12" s="48" t="n"/>
      <c r="H12" s="45" t="n"/>
      <c r="I12" s="45" t="n"/>
      <c r="J12" s="45" t="n"/>
    </row>
    <row r="13" ht="15" customHeight="1" s="39">
      <c r="A13" s="45" t="n"/>
      <c r="B13" s="45" t="n"/>
      <c r="C13" s="48" t="n"/>
      <c r="D13" s="45" t="n"/>
      <c r="E13" s="45" t="n"/>
      <c r="F13" s="48" t="n"/>
      <c r="G13" s="48" t="n"/>
      <c r="H13" s="45" t="n"/>
      <c r="I13" s="45" t="n"/>
      <c r="J13" s="45" t="n"/>
    </row>
    <row r="14" ht="15" customHeight="1" s="39">
      <c r="A14" s="45" t="n"/>
      <c r="B14" s="45" t="n"/>
      <c r="C14" s="48" t="n"/>
      <c r="D14" s="45" t="n"/>
      <c r="E14" s="45" t="n"/>
      <c r="F14" s="48" t="n"/>
      <c r="G14" s="48" t="n"/>
      <c r="H14" s="45" t="n"/>
      <c r="I14" s="45" t="n"/>
      <c r="J14" s="45" t="n"/>
    </row>
    <row r="15" ht="15" customHeight="1" s="39">
      <c r="A15" s="45" t="n"/>
      <c r="B15" s="45" t="n"/>
      <c r="C15" s="48" t="n"/>
      <c r="D15" s="45" t="n"/>
      <c r="E15" s="45" t="n"/>
      <c r="F15" s="48" t="n"/>
      <c r="G15" s="48" t="n"/>
      <c r="H15" s="45" t="n"/>
      <c r="I15" s="45" t="n"/>
      <c r="J15" s="45" t="n"/>
    </row>
    <row r="16" ht="15" customHeight="1" s="39">
      <c r="A16" s="45" t="n"/>
      <c r="B16" s="45" t="n"/>
      <c r="C16" s="48" t="n"/>
      <c r="D16" s="45" t="n"/>
      <c r="E16" s="45" t="n"/>
      <c r="F16" s="48" t="n"/>
      <c r="G16" s="48" t="n"/>
      <c r="H16" s="45" t="n"/>
      <c r="I16" s="45" t="n"/>
      <c r="J16" s="45" t="n"/>
    </row>
    <row r="17" ht="15" customHeight="1" s="39">
      <c r="A17" s="45" t="n"/>
      <c r="B17" s="45" t="n"/>
      <c r="C17" s="48" t="n"/>
      <c r="D17" s="45" t="n"/>
      <c r="E17" s="45" t="n"/>
      <c r="F17" s="48" t="n"/>
      <c r="G17" s="48" t="n"/>
      <c r="H17" s="45" t="n"/>
      <c r="I17" s="45" t="n"/>
      <c r="J17" s="45" t="n"/>
    </row>
    <row r="18" ht="15" customHeight="1" s="39">
      <c r="A18" s="45" t="n"/>
      <c r="B18" s="45" t="n"/>
      <c r="C18" s="48" t="n"/>
      <c r="D18" s="45" t="n"/>
      <c r="E18" s="45" t="n"/>
      <c r="F18" s="48" t="n"/>
      <c r="G18" s="48" t="n"/>
      <c r="H18" s="45" t="n"/>
      <c r="I18" s="45" t="n"/>
      <c r="J18" s="45" t="n"/>
    </row>
    <row r="19" ht="15" customHeight="1" s="39">
      <c r="A19" s="45" t="n"/>
      <c r="B19" s="45" t="n"/>
      <c r="C19" s="48" t="n"/>
      <c r="D19" s="45" t="n"/>
      <c r="E19" s="45" t="n"/>
      <c r="F19" s="48" t="n"/>
      <c r="G19" s="48" t="n"/>
      <c r="H19" s="45" t="n"/>
      <c r="I19" s="45" t="n"/>
      <c r="J19" s="45" t="n"/>
    </row>
    <row r="20" ht="15" customHeight="1" s="39">
      <c r="A20" s="45" t="n"/>
      <c r="B20" s="45" t="n"/>
      <c r="C20" s="48" t="n"/>
      <c r="D20" s="45" t="n"/>
      <c r="E20" s="45" t="n"/>
      <c r="F20" s="48" t="n"/>
      <c r="G20" s="48" t="n"/>
      <c r="H20" s="45" t="n"/>
      <c r="I20" s="45" t="n"/>
      <c r="J20" s="45" t="n"/>
    </row>
    <row r="21" ht="15" customHeight="1" s="39">
      <c r="A21" s="45" t="n"/>
      <c r="B21" s="45" t="n"/>
      <c r="C21" s="48" t="n"/>
      <c r="D21" s="45" t="n"/>
      <c r="E21" s="45" t="n"/>
      <c r="F21" s="48" t="n"/>
      <c r="G21" s="48" t="n"/>
      <c r="H21" s="45" t="n"/>
      <c r="I21" s="45" t="n"/>
      <c r="J21" s="45" t="n"/>
    </row>
    <row r="22" ht="15" customHeight="1" s="39">
      <c r="A22" s="45" t="n"/>
      <c r="B22" s="45" t="n"/>
      <c r="C22" s="48" t="n"/>
      <c r="D22" s="45" t="n"/>
      <c r="E22" s="45" t="n"/>
      <c r="F22" s="48" t="n"/>
      <c r="G22" s="48" t="n"/>
      <c r="H22" s="45" t="n"/>
      <c r="I22" s="45" t="n"/>
      <c r="J22" s="45" t="n"/>
    </row>
    <row r="23" ht="15" customHeight="1" s="39">
      <c r="A23" s="45" t="n"/>
      <c r="B23" s="45" t="n"/>
      <c r="C23" s="48" t="n"/>
      <c r="D23" s="45" t="n"/>
      <c r="E23" s="45" t="n"/>
      <c r="F23" s="48" t="n"/>
      <c r="G23" s="48" t="n"/>
      <c r="H23" s="45" t="n"/>
      <c r="I23" s="45" t="n"/>
      <c r="J23" s="45" t="n"/>
    </row>
    <row r="24" ht="15" customHeight="1" s="39">
      <c r="A24" s="45" t="n"/>
      <c r="B24" s="45" t="n"/>
      <c r="C24" s="48" t="n"/>
      <c r="D24" s="45" t="n"/>
      <c r="E24" s="45" t="n"/>
      <c r="F24" s="48" t="n"/>
      <c r="G24" s="48" t="n"/>
      <c r="H24" s="45" t="n"/>
      <c r="I24" s="45" t="n"/>
      <c r="J24" s="45" t="n"/>
    </row>
    <row r="25" ht="15" customHeight="1" s="39">
      <c r="A25" s="45" t="n"/>
      <c r="B25" s="45" t="n"/>
      <c r="C25" s="48" t="n"/>
      <c r="D25" s="45" t="n"/>
      <c r="E25" s="45" t="n"/>
      <c r="F25" s="48" t="n"/>
      <c r="G25" s="48" t="n"/>
      <c r="H25" s="45" t="n"/>
      <c r="I25" s="45" t="n"/>
      <c r="J25" s="45" t="n"/>
    </row>
    <row r="26" ht="15" customHeight="1" s="39">
      <c r="A26" s="45" t="n"/>
      <c r="B26" s="45" t="n"/>
      <c r="C26" s="48" t="n"/>
      <c r="D26" s="45" t="n"/>
      <c r="E26" s="45" t="n"/>
      <c r="F26" s="48" t="n"/>
      <c r="G26" s="48" t="n"/>
      <c r="H26" s="45" t="n"/>
      <c r="I26" s="45" t="n"/>
      <c r="J26" s="45" t="n"/>
    </row>
    <row r="27" ht="15" customHeight="1" s="39">
      <c r="A27" s="45" t="n"/>
      <c r="B27" s="45" t="n"/>
      <c r="C27" s="48" t="n"/>
      <c r="D27" s="45" t="n"/>
      <c r="E27" s="45" t="n"/>
      <c r="F27" s="48" t="n"/>
      <c r="G27" s="48" t="n"/>
      <c r="H27" s="45" t="n"/>
      <c r="I27" s="45" t="n"/>
      <c r="J27" s="45" t="n"/>
    </row>
    <row r="28" ht="15" customHeight="1" s="39">
      <c r="A28" s="45" t="n"/>
      <c r="B28" s="45" t="n"/>
      <c r="C28" s="48" t="n"/>
      <c r="D28" s="45" t="n"/>
      <c r="E28" s="45" t="n"/>
      <c r="F28" s="48" t="n"/>
      <c r="G28" s="48" t="n"/>
      <c r="H28" s="45" t="n"/>
      <c r="I28" s="45" t="n"/>
      <c r="J28" s="45" t="n"/>
    </row>
    <row r="29" ht="15" customHeight="1" s="39">
      <c r="A29" s="45" t="n"/>
      <c r="B29" s="45" t="n"/>
      <c r="C29" s="48" t="n"/>
      <c r="D29" s="45" t="n"/>
      <c r="E29" s="45" t="n"/>
      <c r="F29" s="48" t="n"/>
      <c r="G29" s="48" t="n"/>
      <c r="H29" s="45" t="n"/>
      <c r="I29" s="45" t="n"/>
      <c r="J29" s="45" t="n"/>
    </row>
    <row r="30" ht="15" customHeight="1" s="39">
      <c r="A30" s="45" t="n"/>
      <c r="B30" s="45" t="n"/>
      <c r="C30" s="48" t="n"/>
      <c r="D30" s="45" t="n"/>
      <c r="E30" s="45" t="n"/>
      <c r="F30" s="48" t="n"/>
      <c r="G30" s="48" t="n"/>
      <c r="H30" s="45" t="n"/>
      <c r="I30" s="45" t="n"/>
      <c r="J30" s="45" t="n"/>
    </row>
    <row r="31" ht="15" customHeight="1" s="39">
      <c r="E31" s="41" t="inlineStr">
        <is>
          <t>Total</t>
        </is>
      </c>
      <c r="F31" s="51">
        <f>SUM(F3:F30)</f>
        <v/>
      </c>
    </row>
  </sheetData>
  <mergeCells count="1">
    <mergeCell ref="A1:J1"/>
  </mergeCells>
  <dataValidations count="2">
    <dataValidation sqref="A3:A30" showDropDown="0" showInputMessage="0" showErrorMessage="0" allowBlank="1" type="list" errorStyle="stop" operator="between">
      <formula1>"Revolv,LOC,Auto,A/P,A/P Related,Other"</formula1>
      <formula2>0</formula2>
    </dataValidation>
    <dataValidation sqref="J3:J30" showDropDown="0" showInputMessage="0" showErrorMessage="0" allowBlank="1" type="list" errorStyle="stop" operator="between">
      <formula1>"S,J,T"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I13"/>
  <sheetViews>
    <sheetView showFormulas="0" showGridLines="1" showRowColHeaders="1" showZeros="1" rightToLeft="0" tabSelected="0" showOutlineSymbols="1" defaultGridColor="1" view="normal" topLeftCell="A1" colorId="64" zoomScale="136" zoomScaleNormal="136" zoomScalePageLayoutView="100" workbookViewId="0">
      <pane xSplit="0" ySplit="2" topLeftCell="A3" activePane="bottomLeft" state="frozen"/>
      <selection pane="topLeft" activeCell="A1" activeCellId="0" sqref="A1"/>
      <selection pane="bottomLeft" activeCell="F41" activeCellId="0" sqref="F41"/>
    </sheetView>
  </sheetViews>
  <sheetFormatPr baseColWidth="8" defaultColWidth="8.66796875" defaultRowHeight="15" zeroHeight="0" outlineLevelRow="0"/>
  <cols>
    <col width="14" customWidth="1" style="38" min="1" max="1"/>
    <col width="20" customWidth="1" style="38" min="2" max="2"/>
    <col width="13" customWidth="1" style="38" min="3" max="3"/>
    <col width="12" customWidth="1" style="38" min="4" max="4"/>
    <col width="22" customWidth="1" style="38" min="5" max="5"/>
    <col width="15" customWidth="1" style="38" min="6" max="6"/>
    <col width="18" customWidth="1" style="38" min="7" max="7"/>
    <col width="14" customWidth="1" style="38" min="8" max="8"/>
    <col width="8" customWidth="1" style="38" min="9" max="9"/>
  </cols>
  <sheetData>
    <row r="1" ht="19.5" customHeight="1" s="39">
      <c r="A1" s="40" t="inlineStr">
        <is>
          <t>Schedule H: Other Liabilities (Personal / Other)</t>
        </is>
      </c>
    </row>
    <row r="2" ht="15" customHeight="1" s="39">
      <c r="A2" s="46" t="inlineStr">
        <is>
          <t>Type</t>
        </is>
      </c>
      <c r="B2" s="46" t="inlineStr">
        <is>
          <t>Owner(s)</t>
        </is>
      </c>
      <c r="C2" s="46" t="inlineStr">
        <is>
          <t>Pmt Amount</t>
        </is>
      </c>
      <c r="D2" s="46" t="inlineStr">
        <is>
          <t>Frequency</t>
        </is>
      </c>
      <c r="E2" s="46" t="inlineStr">
        <is>
          <t>Due To</t>
        </is>
      </c>
      <c r="F2" s="46" t="inlineStr">
        <is>
          <t>Balance Due</t>
        </is>
      </c>
      <c r="G2" s="46" t="inlineStr">
        <is>
          <t>Collateral</t>
        </is>
      </c>
      <c r="H2" s="46" t="inlineStr">
        <is>
          <t>Maturity Date</t>
        </is>
      </c>
      <c r="I2" s="46" t="inlineStr">
        <is>
          <t>S/J/T</t>
        </is>
      </c>
    </row>
    <row r="3" ht="15" customHeight="1" s="39">
      <c r="A3" s="45" t="n"/>
      <c r="B3" s="45" t="n"/>
      <c r="C3" s="48" t="n"/>
      <c r="D3" s="45" t="n"/>
      <c r="E3" s="45" t="n"/>
      <c r="F3" s="48" t="n"/>
      <c r="G3" s="45" t="n"/>
      <c r="H3" s="45" t="n"/>
      <c r="I3" s="45" t="n"/>
    </row>
    <row r="4" ht="15" customHeight="1" s="39">
      <c r="A4" s="45" t="n"/>
      <c r="B4" s="45" t="n"/>
      <c r="C4" s="48" t="n"/>
      <c r="D4" s="45" t="n"/>
      <c r="E4" s="45" t="n"/>
      <c r="F4" s="48" t="n"/>
      <c r="G4" s="45" t="n"/>
      <c r="H4" s="45" t="n"/>
      <c r="I4" s="45" t="n"/>
    </row>
    <row r="5" ht="15" customHeight="1" s="39">
      <c r="A5" s="45" t="n"/>
      <c r="B5" s="45" t="n"/>
      <c r="C5" s="48" t="n"/>
      <c r="D5" s="45" t="n"/>
      <c r="E5" s="45" t="n"/>
      <c r="F5" s="48" t="n"/>
      <c r="G5" s="45" t="n"/>
      <c r="H5" s="45" t="n"/>
      <c r="I5" s="45" t="n"/>
    </row>
    <row r="6" ht="15" customHeight="1" s="39">
      <c r="A6" s="45" t="n"/>
      <c r="B6" s="45" t="n"/>
      <c r="C6" s="48" t="n"/>
      <c r="D6" s="45" t="n"/>
      <c r="E6" s="45" t="n"/>
      <c r="F6" s="48" t="n"/>
      <c r="G6" s="45" t="n"/>
      <c r="H6" s="45" t="n"/>
      <c r="I6" s="45" t="n"/>
    </row>
    <row r="7" ht="15" customHeight="1" s="39">
      <c r="A7" s="45" t="n"/>
      <c r="B7" s="45" t="n"/>
      <c r="C7" s="48" t="n"/>
      <c r="D7" s="45" t="n"/>
      <c r="E7" s="45" t="n"/>
      <c r="F7" s="48" t="n"/>
      <c r="G7" s="45" t="n"/>
      <c r="H7" s="45" t="n"/>
      <c r="I7" s="45" t="n"/>
    </row>
    <row r="8" ht="15" customHeight="1" s="39">
      <c r="A8" s="45" t="n"/>
      <c r="B8" s="45" t="n"/>
      <c r="C8" s="48" t="n"/>
      <c r="D8" s="45" t="n"/>
      <c r="E8" s="45" t="n"/>
      <c r="F8" s="48" t="n"/>
      <c r="G8" s="45" t="n"/>
      <c r="H8" s="45" t="n"/>
      <c r="I8" s="45" t="n"/>
    </row>
    <row r="9" ht="15" customHeight="1" s="39">
      <c r="A9" s="45" t="n"/>
      <c r="B9" s="45" t="n"/>
      <c r="C9" s="48" t="n"/>
      <c r="D9" s="45" t="n"/>
      <c r="E9" s="45" t="n"/>
      <c r="F9" s="48" t="n"/>
      <c r="G9" s="45" t="n"/>
      <c r="H9" s="45" t="n"/>
      <c r="I9" s="45" t="n"/>
    </row>
    <row r="10" ht="15" customHeight="1" s="39">
      <c r="A10" s="45" t="n"/>
      <c r="B10" s="45" t="n"/>
      <c r="C10" s="48" t="n"/>
      <c r="D10" s="45" t="n"/>
      <c r="E10" s="45" t="n"/>
      <c r="F10" s="48" t="n"/>
      <c r="G10" s="45" t="n"/>
      <c r="H10" s="45" t="n"/>
      <c r="I10" s="45" t="n"/>
    </row>
    <row r="11" ht="15" customHeight="1" s="39">
      <c r="A11" s="45" t="n"/>
      <c r="B11" s="45" t="n"/>
      <c r="C11" s="48" t="n"/>
      <c r="D11" s="45" t="n"/>
      <c r="E11" s="45" t="n"/>
      <c r="F11" s="48" t="n"/>
      <c r="G11" s="45" t="n"/>
      <c r="H11" s="45" t="n"/>
      <c r="I11" s="45" t="n"/>
    </row>
    <row r="12" ht="15" customHeight="1" s="39">
      <c r="A12" s="45" t="n"/>
      <c r="B12" s="45" t="n"/>
      <c r="C12" s="48" t="n"/>
      <c r="D12" s="45" t="n"/>
      <c r="E12" s="45" t="n"/>
      <c r="F12" s="48" t="n"/>
      <c r="G12" s="45" t="n"/>
      <c r="H12" s="45" t="n"/>
      <c r="I12" s="45" t="n"/>
    </row>
    <row r="13" ht="15" customHeight="1" s="39">
      <c r="E13" s="41" t="inlineStr">
        <is>
          <t>Total</t>
        </is>
      </c>
      <c r="F13" s="51">
        <f>SUM(F3:F12)</f>
        <v/>
      </c>
    </row>
  </sheetData>
  <mergeCells count="1">
    <mergeCell ref="A1:I1"/>
  </mergeCells>
  <dataValidations count="2">
    <dataValidation sqref="A3:A12" showDropDown="0" showInputMessage="0" showErrorMessage="0" allowBlank="1" type="list" errorStyle="stop" operator="between">
      <formula1>"Personal,Other"</formula1>
      <formula2>0</formula2>
    </dataValidation>
    <dataValidation sqref="I3:I12" showDropDown="0" showInputMessage="0" showErrorMessage="0" allowBlank="1" type="list" errorStyle="stop" operator="between">
      <formula1>"S,J,T"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G25"/>
  <sheetViews>
    <sheetView showFormulas="0" showGridLines="1" showRowColHeaders="1" showZeros="1" rightToLeft="0" tabSelected="0" showOutlineSymbols="1" defaultGridColor="1" view="normal" topLeftCell="A1" colorId="64" zoomScale="112" zoomScaleNormal="112" zoomScalePageLayoutView="100" workbookViewId="0">
      <selection pane="topLeft" activeCell="D29" activeCellId="0" sqref="D29"/>
    </sheetView>
  </sheetViews>
  <sheetFormatPr baseColWidth="8" defaultColWidth="8.66796875" defaultRowHeight="15" zeroHeight="0" outlineLevelRow="0"/>
  <cols>
    <col width="34" customWidth="1" style="38" min="1" max="1"/>
    <col width="18" customWidth="1" style="38" min="2" max="2"/>
    <col width="24" customWidth="1" style="38" min="3" max="3"/>
    <col width="18" customWidth="1" style="38" min="4" max="4"/>
    <col width="20" customWidth="1" style="38" min="5" max="5"/>
    <col width="18" customWidth="1" style="38" min="6" max="6"/>
    <col width="16" customWidth="1" style="38" min="7" max="7"/>
  </cols>
  <sheetData>
    <row r="1" ht="19.5" customHeight="1" s="39">
      <c r="A1" s="40" t="inlineStr">
        <is>
          <t>Contingent Liabilities</t>
        </is>
      </c>
    </row>
    <row r="2" ht="15" customHeight="1" s="39">
      <c r="A2" s="44" t="inlineStr">
        <is>
          <t>Type codes: 1 Guarantor/Endorser  2 Leases/Contracts  3 Legal Claims/Judgments  4 Income Tax Claim  5 Standby LOC  6 Other</t>
        </is>
      </c>
    </row>
    <row r="4" ht="15" customHeight="1" s="39">
      <c r="A4" s="46" t="inlineStr">
        <is>
          <t>Primary Obligor</t>
        </is>
      </c>
      <c r="B4" s="46" t="inlineStr">
        <is>
          <t>Terms of Payment</t>
        </is>
      </c>
      <c r="C4" s="46" t="inlineStr">
        <is>
          <t>Due To</t>
        </is>
      </c>
      <c r="D4" s="46" t="inlineStr">
        <is>
          <t>Maturity Date</t>
        </is>
      </c>
      <c r="E4" s="46" t="inlineStr">
        <is>
          <t>Max Legal Obligation</t>
        </is>
      </c>
      <c r="F4" s="46" t="inlineStr">
        <is>
          <t>Honor? Y/N</t>
        </is>
      </c>
      <c r="G4" s="46" t="inlineStr">
        <is>
          <t>Type (1-6)</t>
        </is>
      </c>
    </row>
    <row r="5" ht="15" customHeight="1" s="39">
      <c r="A5" s="45" t="n"/>
      <c r="B5" s="45" t="n"/>
      <c r="C5" s="45" t="n"/>
      <c r="D5" s="45" t="n"/>
      <c r="E5" s="48" t="n"/>
      <c r="F5" s="45" t="n"/>
      <c r="G5" s="45" t="n"/>
    </row>
    <row r="6" ht="15" customHeight="1" s="39">
      <c r="A6" s="45" t="n"/>
      <c r="B6" s="45" t="n"/>
      <c r="C6" s="45" t="n"/>
      <c r="D6" s="45" t="n"/>
      <c r="E6" s="48" t="n"/>
      <c r="F6" s="45" t="n"/>
      <c r="G6" s="45" t="n"/>
    </row>
    <row r="7" ht="15" customHeight="1" s="39">
      <c r="A7" s="45" t="n"/>
      <c r="B7" s="45" t="n"/>
      <c r="C7" s="45" t="n"/>
      <c r="D7" s="45" t="n"/>
      <c r="E7" s="48" t="n"/>
      <c r="F7" s="45" t="n"/>
      <c r="G7" s="45" t="n"/>
    </row>
    <row r="8" ht="15" customHeight="1" s="39">
      <c r="A8" s="45" t="n"/>
      <c r="B8" s="45" t="n"/>
      <c r="C8" s="45" t="n"/>
      <c r="D8" s="45" t="n"/>
      <c r="E8" s="48" t="n"/>
      <c r="F8" s="45" t="n"/>
      <c r="G8" s="45" t="n"/>
    </row>
    <row r="9" ht="15" customHeight="1" s="39">
      <c r="A9" s="45" t="n"/>
      <c r="B9" s="45" t="n"/>
      <c r="C9" s="45" t="n"/>
      <c r="D9" s="45" t="n"/>
      <c r="E9" s="48" t="n"/>
      <c r="F9" s="45" t="n"/>
      <c r="G9" s="45" t="n"/>
    </row>
    <row r="10" ht="15" customHeight="1" s="39">
      <c r="A10" s="45" t="n"/>
      <c r="B10" s="45" t="n"/>
      <c r="C10" s="45" t="n"/>
      <c r="D10" s="45" t="n"/>
      <c r="E10" s="48" t="n"/>
      <c r="F10" s="45" t="n"/>
      <c r="G10" s="45" t="n"/>
    </row>
    <row r="11" ht="15" customHeight="1" s="39">
      <c r="A11" s="45" t="n"/>
      <c r="B11" s="45" t="n"/>
      <c r="C11" s="45" t="n"/>
      <c r="D11" s="45" t="n"/>
      <c r="E11" s="48" t="n"/>
      <c r="F11" s="45" t="n"/>
      <c r="G11" s="45" t="n"/>
    </row>
    <row r="12" ht="15" customHeight="1" s="39">
      <c r="A12" s="45" t="n"/>
      <c r="B12" s="45" t="n"/>
      <c r="C12" s="45" t="n"/>
      <c r="D12" s="45" t="n"/>
      <c r="E12" s="48" t="n"/>
      <c r="F12" s="45" t="n"/>
      <c r="G12" s="45" t="n"/>
    </row>
    <row r="13" ht="15" customHeight="1" s="39">
      <c r="A13" s="45" t="n"/>
      <c r="B13" s="45" t="n"/>
      <c r="C13" s="45" t="n"/>
      <c r="D13" s="45" t="n"/>
      <c r="E13" s="48" t="n"/>
      <c r="F13" s="45" t="n"/>
      <c r="G13" s="45" t="n"/>
    </row>
    <row r="14" ht="15" customHeight="1" s="39">
      <c r="A14" s="45" t="n"/>
      <c r="B14" s="45" t="n"/>
      <c r="C14" s="45" t="n"/>
      <c r="D14" s="45" t="n"/>
      <c r="E14" s="48" t="n"/>
      <c r="F14" s="45" t="n"/>
      <c r="G14" s="45" t="n"/>
    </row>
    <row r="16" ht="15" customHeight="1" s="39">
      <c r="A16" s="43" t="inlineStr">
        <is>
          <t>Questionnaire</t>
        </is>
      </c>
    </row>
    <row r="17" ht="15" customHeight="1" s="39">
      <c r="A17" s="46" t="inlineStr">
        <is>
          <t>Question</t>
        </is>
      </c>
      <c r="B17" s="46" t="inlineStr">
        <is>
          <t>Y/N</t>
        </is>
      </c>
      <c r="C17" s="46" t="inlineStr">
        <is>
          <t>Details</t>
        </is>
      </c>
    </row>
    <row r="18" ht="15" customHeight="1" s="39">
      <c r="A18" s="47" t="inlineStr">
        <is>
          <t>Do you have home insurance?</t>
        </is>
      </c>
      <c r="B18" s="45" t="n"/>
      <c r="C18" s="45" t="n"/>
    </row>
    <row r="19" ht="15" customHeight="1" s="39">
      <c r="A19" s="47" t="inlineStr">
        <is>
          <t>Do you have life insurance?</t>
        </is>
      </c>
      <c r="B19" s="45" t="n"/>
      <c r="C19" s="45" t="n"/>
    </row>
    <row r="20" ht="15" customHeight="1" s="39">
      <c r="A20" s="47" t="inlineStr">
        <is>
          <t>Have you made a will?</t>
        </is>
      </c>
      <c r="B20" s="45" t="n"/>
      <c r="C20" s="45" t="n"/>
    </row>
    <row r="21" ht="15" customHeight="1" s="39">
      <c r="A21" s="47" t="inlineStr">
        <is>
          <t>Have you established a trust?</t>
        </is>
      </c>
      <c r="B21" s="45" t="n"/>
      <c r="C21" s="45" t="n"/>
    </row>
    <row r="22" ht="15" customHeight="1" s="39">
      <c r="A22" s="47" t="inlineStr">
        <is>
          <t>Any suits / unsatisfied judgments against you?</t>
        </is>
      </c>
      <c r="B22" s="45" t="n"/>
      <c r="C22" s="45" t="n"/>
    </row>
    <row r="23" ht="15" customHeight="1" s="39">
      <c r="A23" s="47" t="inlineStr">
        <is>
          <t>Have you ever declared bankruptcy?</t>
        </is>
      </c>
      <c r="B23" s="45" t="n"/>
      <c r="C23" s="45" t="n"/>
    </row>
    <row r="24" ht="15" customHeight="1" s="39">
      <c r="A24" s="47" t="inlineStr">
        <is>
          <t>Do you have a CPA?</t>
        </is>
      </c>
      <c r="B24" s="45" t="n"/>
      <c r="C24" s="45" t="n"/>
    </row>
    <row r="25" ht="15" customHeight="1" s="39">
      <c r="A25" s="47" t="inlineStr">
        <is>
          <t>Do you have an Attorney?</t>
        </is>
      </c>
      <c r="B25" s="45" t="n"/>
      <c r="C25" s="45" t="n"/>
    </row>
  </sheetData>
  <mergeCells count="2">
    <mergeCell ref="A16:G16"/>
    <mergeCell ref="A1:G1"/>
  </mergeCells>
  <dataValidations count="2">
    <dataValidation sqref="B18:B25 F5:F14" showDropDown="0" showInputMessage="0" showErrorMessage="0" allowBlank="1" type="list" errorStyle="stop" operator="between">
      <formula1>"Y,N"</formula1>
      <formula2>0</formula2>
    </dataValidation>
    <dataValidation sqref="G5:G14" showDropDown="0" showInputMessage="0" showErrorMessage="0" allowBlank="1" type="list" errorStyle="stop" operator="between">
      <formula1>"1,2,3,4,5,6"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2026-06-02T15:02:54Z</dcterms:created>
  <dcterms:modified xsi:type="dcterms:W3CDTF">2026-10-01T01:58:24Z</dcterms:modified>
  <cp:lastModifiedBy>Vartan Tchekmedyian</cp:lastModifiedBy>
  <cp:revision>0</cp:revision>
</cp:coreProperties>
</file>